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aif_hb\Desktop\счет брв\"/>
    </mc:Choice>
  </mc:AlternateContent>
  <xr:revisionPtr revIDLastSave="0" documentId="13_ncr:1_{E5F0D6B5-C740-4817-8D2A-C4502E9755D8}" xr6:coauthVersionLast="36" xr6:coauthVersionMax="36" xr10:uidLastSave="{00000000-0000-0000-0000-000000000000}"/>
  <bookViews>
    <workbookView xWindow="4650" yWindow="0" windowWidth="27870" windowHeight="11010" xr2:uid="{1CA40905-267E-4ADA-83CA-C768490ED34E}"/>
  </bookViews>
  <sheets>
    <sheet name="Лист1" sheetId="1" r:id="rId1"/>
    <sheet name="export" sheetId="2" r:id="rId2"/>
  </sheets>
  <definedNames>
    <definedName name="_xlnm._FilterDatabase" localSheetId="0" hidden="1">Лист1!$A$2:$AC$165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2" l="1"/>
  <c r="Y7" i="2"/>
  <c r="X8" i="2"/>
  <c r="Y8" i="2"/>
  <c r="X9" i="2"/>
  <c r="Y9" i="2"/>
  <c r="X10" i="2"/>
  <c r="Y10" i="2"/>
  <c r="X11" i="2"/>
  <c r="Y11" i="2"/>
  <c r="X12" i="2"/>
  <c r="Y12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X52" i="2"/>
  <c r="Y52" i="2"/>
  <c r="X53" i="2"/>
  <c r="Y53" i="2"/>
  <c r="X54" i="2"/>
  <c r="Y54" i="2"/>
  <c r="X55" i="2"/>
  <c r="Y55" i="2"/>
  <c r="X56" i="2"/>
  <c r="Y56" i="2"/>
  <c r="X57" i="2"/>
  <c r="Y57" i="2"/>
  <c r="X58" i="2"/>
  <c r="Y58" i="2"/>
  <c r="X59" i="2"/>
  <c r="Y59" i="2"/>
  <c r="X60" i="2"/>
  <c r="Y60" i="2"/>
  <c r="X61" i="2"/>
  <c r="Y61" i="2"/>
  <c r="X62" i="2"/>
  <c r="Y62" i="2"/>
  <c r="X63" i="2"/>
  <c r="Y63" i="2"/>
  <c r="X64" i="2"/>
  <c r="Y64" i="2"/>
  <c r="X65" i="2"/>
  <c r="Y65" i="2"/>
  <c r="X66" i="2"/>
  <c r="Y66" i="2"/>
  <c r="X67" i="2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X76" i="2"/>
  <c r="Y76" i="2"/>
  <c r="X77" i="2"/>
  <c r="Y77" i="2"/>
  <c r="X78" i="2"/>
  <c r="Y78" i="2"/>
  <c r="X79" i="2"/>
  <c r="Y79" i="2"/>
  <c r="X80" i="2"/>
  <c r="Y80" i="2"/>
  <c r="X81" i="2"/>
  <c r="Y81" i="2"/>
  <c r="X82" i="2"/>
  <c r="Y82" i="2"/>
  <c r="X83" i="2"/>
  <c r="Y83" i="2"/>
  <c r="X84" i="2"/>
  <c r="Y84" i="2"/>
  <c r="X85" i="2"/>
  <c r="Y85" i="2"/>
  <c r="X86" i="2"/>
  <c r="Y86" i="2"/>
  <c r="X87" i="2"/>
  <c r="Y87" i="2"/>
  <c r="X88" i="2"/>
  <c r="Y88" i="2"/>
  <c r="X89" i="2"/>
  <c r="Y89" i="2"/>
  <c r="X90" i="2"/>
  <c r="Y90" i="2"/>
  <c r="X91" i="2"/>
  <c r="Y91" i="2"/>
  <c r="X92" i="2"/>
  <c r="Y92" i="2"/>
  <c r="X93" i="2"/>
  <c r="Y93" i="2"/>
  <c r="X94" i="2"/>
  <c r="Y94" i="2"/>
  <c r="X95" i="2"/>
  <c r="Y95" i="2"/>
  <c r="X96" i="2"/>
  <c r="Y96" i="2"/>
  <c r="X97" i="2"/>
  <c r="Y97" i="2"/>
  <c r="X98" i="2"/>
  <c r="Y98" i="2"/>
  <c r="X99" i="2"/>
  <c r="Y99" i="2"/>
  <c r="X100" i="2"/>
  <c r="Y100" i="2"/>
  <c r="X101" i="2"/>
  <c r="Y101" i="2"/>
  <c r="X102" i="2"/>
  <c r="Y102" i="2"/>
  <c r="X103" i="2"/>
  <c r="Y103" i="2"/>
  <c r="X104" i="2"/>
  <c r="Y104" i="2"/>
  <c r="X105" i="2"/>
  <c r="Y105" i="2"/>
  <c r="X106" i="2"/>
  <c r="Y106" i="2"/>
  <c r="X107" i="2"/>
  <c r="Y107" i="2"/>
  <c r="X108" i="2"/>
  <c r="Y108" i="2"/>
  <c r="X109" i="2"/>
  <c r="Y109" i="2"/>
  <c r="X110" i="2"/>
  <c r="Y110" i="2"/>
  <c r="X111" i="2"/>
  <c r="Y111" i="2"/>
  <c r="X112" i="2"/>
  <c r="Y112" i="2"/>
  <c r="X113" i="2"/>
  <c r="Y113" i="2"/>
  <c r="X114" i="2"/>
  <c r="Y114" i="2"/>
  <c r="X115" i="2"/>
  <c r="Y115" i="2"/>
  <c r="X116" i="2"/>
  <c r="Y116" i="2"/>
  <c r="X117" i="2"/>
  <c r="Y117" i="2"/>
  <c r="X118" i="2"/>
  <c r="Y118" i="2"/>
  <c r="X119" i="2"/>
  <c r="Y119" i="2"/>
  <c r="X120" i="2"/>
  <c r="Y120" i="2"/>
  <c r="X121" i="2"/>
  <c r="Y121" i="2"/>
  <c r="X122" i="2"/>
  <c r="Y122" i="2"/>
  <c r="X123" i="2"/>
  <c r="Y123" i="2"/>
  <c r="X124" i="2"/>
  <c r="Y124" i="2"/>
  <c r="X125" i="2"/>
  <c r="Y125" i="2"/>
  <c r="X126" i="2"/>
  <c r="Y126" i="2"/>
  <c r="X127" i="2"/>
  <c r="Y127" i="2"/>
  <c r="X128" i="2"/>
  <c r="Y128" i="2"/>
  <c r="X129" i="2"/>
  <c r="Y129" i="2"/>
  <c r="X130" i="2"/>
  <c r="Y130" i="2"/>
  <c r="X131" i="2"/>
  <c r="Y131" i="2"/>
  <c r="X132" i="2"/>
  <c r="Y132" i="2"/>
  <c r="X133" i="2"/>
  <c r="Y133" i="2"/>
  <c r="X134" i="2"/>
  <c r="Y134" i="2"/>
  <c r="X135" i="2"/>
  <c r="Y135" i="2"/>
  <c r="X136" i="2"/>
  <c r="Y136" i="2"/>
  <c r="X137" i="2"/>
  <c r="Y137" i="2"/>
  <c r="X138" i="2"/>
  <c r="Y138" i="2"/>
  <c r="X139" i="2"/>
  <c r="Y139" i="2"/>
  <c r="X140" i="2"/>
  <c r="Y140" i="2"/>
  <c r="X141" i="2"/>
  <c r="Y141" i="2"/>
  <c r="X142" i="2"/>
  <c r="Y142" i="2"/>
  <c r="X143" i="2"/>
  <c r="Y143" i="2"/>
  <c r="X144" i="2"/>
  <c r="Y144" i="2"/>
  <c r="X145" i="2"/>
  <c r="Y145" i="2"/>
  <c r="X146" i="2"/>
  <c r="Y146" i="2"/>
  <c r="X147" i="2"/>
  <c r="Y147" i="2"/>
  <c r="X148" i="2"/>
  <c r="Y148" i="2"/>
  <c r="X149" i="2"/>
  <c r="Y149" i="2"/>
  <c r="X150" i="2"/>
  <c r="Y150" i="2"/>
  <c r="X151" i="2"/>
  <c r="Y151" i="2"/>
  <c r="X152" i="2"/>
  <c r="Y152" i="2"/>
  <c r="X153" i="2"/>
  <c r="Y153" i="2"/>
  <c r="X154" i="2"/>
  <c r="Y154" i="2"/>
  <c r="X155" i="2"/>
  <c r="Y155" i="2"/>
  <c r="X156" i="2"/>
  <c r="Y156" i="2"/>
  <c r="X157" i="2"/>
  <c r="Y157" i="2"/>
  <c r="X158" i="2"/>
  <c r="Y158" i="2"/>
  <c r="X159" i="2"/>
  <c r="Y159" i="2"/>
  <c r="X160" i="2"/>
  <c r="Y160" i="2"/>
  <c r="X161" i="2"/>
  <c r="Y161" i="2"/>
  <c r="X162" i="2"/>
  <c r="Y162" i="2"/>
  <c r="X163" i="2"/>
  <c r="Y163" i="2"/>
  <c r="X164" i="2"/>
  <c r="Y164" i="2"/>
  <c r="X165" i="2"/>
  <c r="Y165" i="2"/>
  <c r="X166" i="2"/>
  <c r="Y166" i="2"/>
  <c r="X167" i="2"/>
  <c r="Y167" i="2"/>
  <c r="X168" i="2"/>
  <c r="Y168" i="2"/>
  <c r="X169" i="2"/>
  <c r="Y169" i="2"/>
  <c r="X170" i="2"/>
  <c r="Y170" i="2"/>
  <c r="X171" i="2"/>
  <c r="Y171" i="2"/>
  <c r="X172" i="2"/>
  <c r="Y172" i="2"/>
  <c r="X173" i="2"/>
  <c r="Y173" i="2"/>
  <c r="X174" i="2"/>
  <c r="Y174" i="2"/>
  <c r="X175" i="2"/>
  <c r="Y175" i="2"/>
  <c r="X176" i="2"/>
  <c r="Y176" i="2"/>
  <c r="X177" i="2"/>
  <c r="Y177" i="2"/>
  <c r="X178" i="2"/>
  <c r="Y178" i="2"/>
  <c r="X179" i="2"/>
  <c r="Y179" i="2"/>
  <c r="X180" i="2"/>
  <c r="Y180" i="2"/>
  <c r="X181" i="2"/>
  <c r="Y181" i="2"/>
  <c r="X182" i="2"/>
  <c r="Y182" i="2"/>
  <c r="X183" i="2"/>
  <c r="Y183" i="2"/>
  <c r="X184" i="2"/>
  <c r="Y184" i="2"/>
  <c r="X185" i="2"/>
  <c r="Y185" i="2"/>
  <c r="X186" i="2"/>
  <c r="Y186" i="2"/>
  <c r="X187" i="2"/>
  <c r="Y187" i="2"/>
  <c r="X188" i="2"/>
  <c r="Y188" i="2"/>
  <c r="X189" i="2"/>
  <c r="Y189" i="2"/>
  <c r="X190" i="2"/>
  <c r="Y190" i="2"/>
  <c r="Y6" i="2"/>
  <c r="X6" i="2"/>
  <c r="H6" i="2"/>
  <c r="K10" i="1" l="1"/>
  <c r="D163" i="1"/>
  <c r="D164" i="1" s="1"/>
  <c r="C163" i="1"/>
  <c r="C164" i="1" s="1"/>
  <c r="D162" i="1"/>
  <c r="C162" i="1"/>
  <c r="O154" i="1"/>
  <c r="O155" i="1" s="1"/>
  <c r="N154" i="1"/>
  <c r="N155" i="1" s="1"/>
  <c r="M154" i="1"/>
  <c r="M155" i="1" s="1"/>
  <c r="L154" i="1"/>
  <c r="L155" i="1" s="1"/>
  <c r="K154" i="1"/>
  <c r="K155" i="1" s="1"/>
  <c r="O153" i="1"/>
  <c r="N153" i="1"/>
  <c r="M153" i="1"/>
  <c r="L153" i="1"/>
  <c r="K153" i="1"/>
  <c r="G154" i="1"/>
  <c r="G155" i="1" s="1"/>
  <c r="F154" i="1"/>
  <c r="F155" i="1" s="1"/>
  <c r="E154" i="1"/>
  <c r="E155" i="1" s="1"/>
  <c r="D154" i="1"/>
  <c r="D155" i="1" s="1"/>
  <c r="C154" i="1"/>
  <c r="C155" i="1" s="1"/>
  <c r="G153" i="1"/>
  <c r="F153" i="1"/>
  <c r="E153" i="1"/>
  <c r="D153" i="1"/>
  <c r="C153" i="1"/>
  <c r="O145" i="1"/>
  <c r="O146" i="1" s="1"/>
  <c r="N145" i="1"/>
  <c r="N146" i="1" s="1"/>
  <c r="M145" i="1"/>
  <c r="M146" i="1" s="1"/>
  <c r="L145" i="1"/>
  <c r="L146" i="1" s="1"/>
  <c r="K145" i="1"/>
  <c r="K146" i="1" s="1"/>
  <c r="O144" i="1"/>
  <c r="N144" i="1"/>
  <c r="M144" i="1"/>
  <c r="L144" i="1"/>
  <c r="K144" i="1"/>
  <c r="G145" i="1"/>
  <c r="G146" i="1" s="1"/>
  <c r="F145" i="1"/>
  <c r="F146" i="1" s="1"/>
  <c r="E145" i="1"/>
  <c r="E146" i="1" s="1"/>
  <c r="D145" i="1"/>
  <c r="D146" i="1" s="1"/>
  <c r="C145" i="1"/>
  <c r="C146" i="1" s="1"/>
  <c r="G144" i="1"/>
  <c r="F144" i="1"/>
  <c r="E144" i="1"/>
  <c r="D144" i="1"/>
  <c r="C144" i="1"/>
  <c r="G136" i="1"/>
  <c r="G137" i="1" s="1"/>
  <c r="F136" i="1"/>
  <c r="F137" i="1" s="1"/>
  <c r="E136" i="1"/>
  <c r="E137" i="1" s="1"/>
  <c r="D136" i="1"/>
  <c r="D137" i="1" s="1"/>
  <c r="C136" i="1"/>
  <c r="C137" i="1" s="1"/>
  <c r="G135" i="1"/>
  <c r="F135" i="1"/>
  <c r="E135" i="1"/>
  <c r="D135" i="1"/>
  <c r="C135" i="1"/>
  <c r="O127" i="1"/>
  <c r="O128" i="1" s="1"/>
  <c r="N127" i="1"/>
  <c r="N128" i="1" s="1"/>
  <c r="M127" i="1"/>
  <c r="M128" i="1" s="1"/>
  <c r="L127" i="1"/>
  <c r="L128" i="1" s="1"/>
  <c r="K127" i="1"/>
  <c r="K128" i="1" s="1"/>
  <c r="O126" i="1"/>
  <c r="N126" i="1"/>
  <c r="M126" i="1"/>
  <c r="L126" i="1"/>
  <c r="K126" i="1"/>
  <c r="G127" i="1"/>
  <c r="G128" i="1" s="1"/>
  <c r="F127" i="1"/>
  <c r="F128" i="1" s="1"/>
  <c r="E127" i="1"/>
  <c r="E128" i="1" s="1"/>
  <c r="D127" i="1"/>
  <c r="D128" i="1" s="1"/>
  <c r="C127" i="1"/>
  <c r="C128" i="1" s="1"/>
  <c r="G126" i="1"/>
  <c r="F126" i="1"/>
  <c r="E126" i="1"/>
  <c r="D126" i="1"/>
  <c r="C126" i="1"/>
  <c r="O118" i="1"/>
  <c r="O119" i="1" s="1"/>
  <c r="N118" i="1"/>
  <c r="N119" i="1" s="1"/>
  <c r="M118" i="1"/>
  <c r="M119" i="1" s="1"/>
  <c r="O117" i="1"/>
  <c r="N117" i="1"/>
  <c r="M117" i="1"/>
  <c r="H118" i="1"/>
  <c r="H119" i="1" s="1"/>
  <c r="H117" i="1"/>
  <c r="G109" i="1"/>
  <c r="G110" i="1" s="1"/>
  <c r="F109" i="1"/>
  <c r="F110" i="1" s="1"/>
  <c r="E109" i="1"/>
  <c r="E110" i="1" s="1"/>
  <c r="D109" i="1"/>
  <c r="D110" i="1" s="1"/>
  <c r="C109" i="1"/>
  <c r="C110" i="1" s="1"/>
  <c r="G108" i="1"/>
  <c r="F108" i="1"/>
  <c r="E108" i="1"/>
  <c r="D108" i="1"/>
  <c r="C108" i="1"/>
  <c r="O100" i="1"/>
  <c r="O101" i="1" s="1"/>
  <c r="N100" i="1"/>
  <c r="N101" i="1" s="1"/>
  <c r="M100" i="1"/>
  <c r="M101" i="1" s="1"/>
  <c r="L100" i="1"/>
  <c r="L101" i="1" s="1"/>
  <c r="K100" i="1"/>
  <c r="K101" i="1" s="1"/>
  <c r="O99" i="1"/>
  <c r="N99" i="1"/>
  <c r="M99" i="1"/>
  <c r="L99" i="1"/>
  <c r="K99" i="1"/>
  <c r="G100" i="1"/>
  <c r="G101" i="1" s="1"/>
  <c r="F100" i="1"/>
  <c r="F101" i="1" s="1"/>
  <c r="E100" i="1"/>
  <c r="E101" i="1" s="1"/>
  <c r="D100" i="1"/>
  <c r="D101" i="1" s="1"/>
  <c r="C100" i="1"/>
  <c r="C101" i="1" s="1"/>
  <c r="G99" i="1"/>
  <c r="F99" i="1"/>
  <c r="E99" i="1"/>
  <c r="D99" i="1"/>
  <c r="C99" i="1"/>
  <c r="O91" i="1"/>
  <c r="O92" i="1" s="1"/>
  <c r="N91" i="1"/>
  <c r="N92" i="1" s="1"/>
  <c r="M91" i="1"/>
  <c r="M92" i="1" s="1"/>
  <c r="L91" i="1"/>
  <c r="L92" i="1" s="1"/>
  <c r="K91" i="1"/>
  <c r="K92" i="1" s="1"/>
  <c r="O90" i="1"/>
  <c r="N90" i="1"/>
  <c r="M90" i="1"/>
  <c r="L90" i="1"/>
  <c r="K90" i="1"/>
  <c r="G91" i="1"/>
  <c r="G92" i="1" s="1"/>
  <c r="F91" i="1"/>
  <c r="F92" i="1" s="1"/>
  <c r="E91" i="1"/>
  <c r="E92" i="1" s="1"/>
  <c r="G90" i="1"/>
  <c r="F90" i="1"/>
  <c r="E90" i="1"/>
  <c r="D82" i="1"/>
  <c r="D83" i="1" s="1"/>
  <c r="C82" i="1"/>
  <c r="C83" i="1" s="1"/>
  <c r="D81" i="1"/>
  <c r="C81" i="1"/>
  <c r="G73" i="1"/>
  <c r="G74" i="1" s="1"/>
  <c r="F73" i="1"/>
  <c r="F74" i="1" s="1"/>
  <c r="E73" i="1"/>
  <c r="E74" i="1" s="1"/>
  <c r="D73" i="1"/>
  <c r="D74" i="1" s="1"/>
  <c r="C73" i="1"/>
  <c r="C74" i="1" s="1"/>
  <c r="G72" i="1"/>
  <c r="F72" i="1"/>
  <c r="E72" i="1"/>
  <c r="D72" i="1"/>
  <c r="C72" i="1"/>
  <c r="O73" i="1"/>
  <c r="O74" i="1" s="1"/>
  <c r="N73" i="1"/>
  <c r="N74" i="1" s="1"/>
  <c r="M73" i="1"/>
  <c r="M74" i="1" s="1"/>
  <c r="L73" i="1"/>
  <c r="L74" i="1" s="1"/>
  <c r="K73" i="1"/>
  <c r="K74" i="1" s="1"/>
  <c r="O72" i="1"/>
  <c r="N72" i="1"/>
  <c r="M72" i="1"/>
  <c r="L72" i="1"/>
  <c r="K72" i="1"/>
  <c r="O64" i="1"/>
  <c r="O65" i="1" s="1"/>
  <c r="N64" i="1"/>
  <c r="N65" i="1" s="1"/>
  <c r="M64" i="1"/>
  <c r="M65" i="1" s="1"/>
  <c r="L64" i="1"/>
  <c r="L65" i="1" s="1"/>
  <c r="K64" i="1"/>
  <c r="K65" i="1" s="1"/>
  <c r="O63" i="1"/>
  <c r="N63" i="1"/>
  <c r="M63" i="1"/>
  <c r="L63" i="1"/>
  <c r="K63" i="1"/>
  <c r="G64" i="1"/>
  <c r="G65" i="1" s="1"/>
  <c r="F64" i="1"/>
  <c r="F65" i="1" s="1"/>
  <c r="E64" i="1"/>
  <c r="E65" i="1" s="1"/>
  <c r="D64" i="1"/>
  <c r="D65" i="1" s="1"/>
  <c r="C64" i="1"/>
  <c r="C65" i="1" s="1"/>
  <c r="G63" i="1"/>
  <c r="F63" i="1"/>
  <c r="E63" i="1"/>
  <c r="D63" i="1"/>
  <c r="C63" i="1"/>
  <c r="G55" i="1"/>
  <c r="G56" i="1" s="1"/>
  <c r="F55" i="1"/>
  <c r="F56" i="1" s="1"/>
  <c r="E55" i="1"/>
  <c r="E56" i="1" s="1"/>
  <c r="D55" i="1"/>
  <c r="D56" i="1" s="1"/>
  <c r="C55" i="1"/>
  <c r="C56" i="1" s="1"/>
  <c r="G54" i="1"/>
  <c r="F54" i="1"/>
  <c r="E54" i="1"/>
  <c r="D54" i="1"/>
  <c r="C54" i="1"/>
  <c r="O46" i="1"/>
  <c r="O47" i="1" s="1"/>
  <c r="N46" i="1"/>
  <c r="N47" i="1" s="1"/>
  <c r="M46" i="1"/>
  <c r="M47" i="1" s="1"/>
  <c r="L46" i="1"/>
  <c r="L47" i="1" s="1"/>
  <c r="K46" i="1"/>
  <c r="K47" i="1" s="1"/>
  <c r="O45" i="1"/>
  <c r="N45" i="1"/>
  <c r="M45" i="1"/>
  <c r="L45" i="1"/>
  <c r="K45" i="1"/>
  <c r="G46" i="1"/>
  <c r="G47" i="1" s="1"/>
  <c r="F46" i="1"/>
  <c r="F47" i="1" s="1"/>
  <c r="E46" i="1"/>
  <c r="E47" i="1" s="1"/>
  <c r="D46" i="1"/>
  <c r="D47" i="1" s="1"/>
  <c r="C46" i="1"/>
  <c r="C47" i="1" s="1"/>
  <c r="G45" i="1"/>
  <c r="F45" i="1"/>
  <c r="E45" i="1"/>
  <c r="D45" i="1"/>
  <c r="C45" i="1"/>
  <c r="O37" i="1"/>
  <c r="O38" i="1" s="1"/>
  <c r="N37" i="1"/>
  <c r="N38" i="1" s="1"/>
  <c r="M37" i="1"/>
  <c r="M38" i="1" s="1"/>
  <c r="L37" i="1"/>
  <c r="L38" i="1" s="1"/>
  <c r="K37" i="1"/>
  <c r="K38" i="1" s="1"/>
  <c r="O36" i="1"/>
  <c r="N36" i="1"/>
  <c r="M36" i="1"/>
  <c r="L36" i="1"/>
  <c r="K36" i="1"/>
  <c r="G36" i="1"/>
  <c r="J129" i="2" l="1"/>
  <c r="G186" i="2"/>
  <c r="G185" i="2"/>
  <c r="G179" i="2"/>
  <c r="G178" i="2"/>
  <c r="G172" i="2"/>
  <c r="G171" i="2"/>
  <c r="G165" i="2"/>
  <c r="G164" i="2"/>
  <c r="G158" i="2"/>
  <c r="G157" i="2"/>
  <c r="G151" i="2"/>
  <c r="G150" i="2"/>
  <c r="G144" i="2"/>
  <c r="G143" i="2"/>
  <c r="G130" i="2" l="1"/>
  <c r="G129" i="2"/>
  <c r="G123" i="2"/>
  <c r="G122" i="2"/>
  <c r="G116" i="2"/>
  <c r="G115" i="2"/>
  <c r="G109" i="2"/>
  <c r="G108" i="2"/>
  <c r="G102" i="2"/>
  <c r="G101" i="2"/>
  <c r="W6" i="2"/>
  <c r="AA6" i="2" s="1"/>
  <c r="G95" i="2"/>
  <c r="G94" i="2"/>
  <c r="G88" i="2"/>
  <c r="G87" i="2"/>
  <c r="G81" i="2"/>
  <c r="G80" i="2"/>
  <c r="G74" i="2"/>
  <c r="G73" i="2"/>
  <c r="Q2" i="2" l="1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2" i="2"/>
  <c r="G67" i="2"/>
  <c r="G66" i="2"/>
  <c r="G60" i="2"/>
  <c r="G59" i="2"/>
  <c r="G53" i="2"/>
  <c r="G52" i="2"/>
  <c r="G46" i="2"/>
  <c r="G45" i="2"/>
  <c r="G11" i="2"/>
  <c r="G10" i="2"/>
  <c r="G7" i="2"/>
  <c r="G8" i="2"/>
  <c r="G9" i="2"/>
  <c r="G40" i="2"/>
  <c r="G41" i="2"/>
  <c r="G42" i="2"/>
  <c r="G43" i="2"/>
  <c r="G44" i="2"/>
  <c r="G47" i="2"/>
  <c r="G48" i="2"/>
  <c r="G49" i="2"/>
  <c r="G50" i="2"/>
  <c r="G51" i="2"/>
  <c r="G54" i="2"/>
  <c r="G55" i="2"/>
  <c r="G56" i="2"/>
  <c r="G57" i="2"/>
  <c r="G58" i="2"/>
  <c r="G61" i="2"/>
  <c r="G62" i="2"/>
  <c r="G63" i="2"/>
  <c r="G64" i="2"/>
  <c r="G65" i="2"/>
  <c r="G68" i="2"/>
  <c r="G69" i="2"/>
  <c r="G70" i="2"/>
  <c r="G71" i="2"/>
  <c r="G72" i="2"/>
  <c r="G75" i="2"/>
  <c r="G76" i="2"/>
  <c r="G77" i="2"/>
  <c r="G78" i="2"/>
  <c r="G79" i="2"/>
  <c r="G82" i="2"/>
  <c r="G83" i="2"/>
  <c r="G84" i="2"/>
  <c r="G85" i="2"/>
  <c r="G86" i="2"/>
  <c r="G89" i="2"/>
  <c r="G90" i="2"/>
  <c r="G91" i="2"/>
  <c r="G92" i="2"/>
  <c r="G93" i="2"/>
  <c r="G96" i="2"/>
  <c r="G97" i="2"/>
  <c r="G98" i="2"/>
  <c r="G99" i="2"/>
  <c r="G100" i="2"/>
  <c r="G103" i="2"/>
  <c r="G104" i="2"/>
  <c r="G105" i="2"/>
  <c r="G106" i="2"/>
  <c r="G107" i="2"/>
  <c r="G110" i="2"/>
  <c r="G111" i="2"/>
  <c r="G112" i="2"/>
  <c r="G113" i="2"/>
  <c r="G114" i="2"/>
  <c r="G117" i="2"/>
  <c r="G118" i="2"/>
  <c r="G119" i="2"/>
  <c r="G120" i="2"/>
  <c r="G121" i="2"/>
  <c r="G124" i="2"/>
  <c r="G125" i="2"/>
  <c r="G126" i="2"/>
  <c r="G127" i="2"/>
  <c r="G128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5" i="2"/>
  <c r="G146" i="2"/>
  <c r="G147" i="2"/>
  <c r="G148" i="2"/>
  <c r="G149" i="2"/>
  <c r="G152" i="2"/>
  <c r="G153" i="2"/>
  <c r="G154" i="2"/>
  <c r="G155" i="2"/>
  <c r="G156" i="2"/>
  <c r="G159" i="2"/>
  <c r="G160" i="2"/>
  <c r="G161" i="2"/>
  <c r="G162" i="2"/>
  <c r="G163" i="2"/>
  <c r="G166" i="2"/>
  <c r="G167" i="2"/>
  <c r="G168" i="2"/>
  <c r="G169" i="2"/>
  <c r="G170" i="2"/>
  <c r="G173" i="2"/>
  <c r="G174" i="2"/>
  <c r="G175" i="2"/>
  <c r="G176" i="2"/>
  <c r="G177" i="2"/>
  <c r="G180" i="2"/>
  <c r="G181" i="2"/>
  <c r="G182" i="2"/>
  <c r="G183" i="2"/>
  <c r="G184" i="2"/>
  <c r="G187" i="2"/>
  <c r="G188" i="2"/>
  <c r="G189" i="2"/>
  <c r="G190" i="2"/>
  <c r="G6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AI6" i="2"/>
  <c r="H161" i="2" l="1"/>
  <c r="H184" i="2"/>
  <c r="H166" i="2"/>
  <c r="H160" i="2"/>
  <c r="H154" i="2"/>
  <c r="H148" i="2"/>
  <c r="H142" i="2"/>
  <c r="U130" i="2"/>
  <c r="H124" i="2"/>
  <c r="H118" i="2"/>
  <c r="H112" i="2"/>
  <c r="H106" i="2"/>
  <c r="H100" i="2"/>
  <c r="H82" i="2"/>
  <c r="H76" i="2"/>
  <c r="H173" i="2"/>
  <c r="H113" i="2"/>
  <c r="H183" i="2"/>
  <c r="H177" i="2"/>
  <c r="U165" i="2"/>
  <c r="H159" i="2"/>
  <c r="H153" i="2"/>
  <c r="H147" i="2"/>
  <c r="H141" i="2"/>
  <c r="H135" i="2"/>
  <c r="H117" i="2"/>
  <c r="H111" i="2"/>
  <c r="H105" i="2"/>
  <c r="H99" i="2"/>
  <c r="V87" i="2"/>
  <c r="T87" i="2" s="1"/>
  <c r="U81" i="2"/>
  <c r="H155" i="2"/>
  <c r="H125" i="2"/>
  <c r="H188" i="2"/>
  <c r="H182" i="2"/>
  <c r="H176" i="2"/>
  <c r="H170" i="2"/>
  <c r="U164" i="2"/>
  <c r="H152" i="2"/>
  <c r="H146" i="2"/>
  <c r="H140" i="2"/>
  <c r="H134" i="2"/>
  <c r="H128" i="2"/>
  <c r="V116" i="2"/>
  <c r="T116" i="2" s="1"/>
  <c r="H110" i="2"/>
  <c r="H104" i="2"/>
  <c r="H98" i="2"/>
  <c r="H86" i="2"/>
  <c r="U80" i="2"/>
  <c r="H149" i="2"/>
  <c r="H119" i="2"/>
  <c r="H187" i="2"/>
  <c r="H181" i="2"/>
  <c r="H175" i="2"/>
  <c r="H169" i="2"/>
  <c r="H163" i="2"/>
  <c r="U157" i="2"/>
  <c r="H145" i="2"/>
  <c r="H139" i="2"/>
  <c r="H133" i="2"/>
  <c r="H127" i="2"/>
  <c r="H121" i="2"/>
  <c r="V109" i="2"/>
  <c r="H103" i="2"/>
  <c r="H85" i="2"/>
  <c r="H167" i="2"/>
  <c r="H107" i="2"/>
  <c r="H77" i="2"/>
  <c r="H180" i="2"/>
  <c r="H174" i="2"/>
  <c r="H168" i="2"/>
  <c r="H162" i="2"/>
  <c r="H156" i="2"/>
  <c r="H138" i="2"/>
  <c r="H126" i="2"/>
  <c r="H120" i="2"/>
  <c r="H114" i="2"/>
  <c r="U84" i="2"/>
  <c r="U78" i="2"/>
  <c r="V155" i="2"/>
  <c r="T155" i="2" s="1"/>
  <c r="I155" i="2" s="1"/>
  <c r="U143" i="2"/>
  <c r="AF167" i="2"/>
  <c r="AJ178" i="2"/>
  <c r="AF37" i="2"/>
  <c r="AH33" i="2"/>
  <c r="AJ184" i="2"/>
  <c r="AE36" i="2"/>
  <c r="AE177" i="2"/>
  <c r="AD35" i="2"/>
  <c r="AB186" i="2"/>
  <c r="AK165" i="2"/>
  <c r="AI34" i="2"/>
  <c r="AK189" i="2"/>
  <c r="AL149" i="2"/>
  <c r="AJ153" i="2"/>
  <c r="AK160" i="2"/>
  <c r="AE164" i="2"/>
  <c r="AB147" i="2"/>
  <c r="AL151" i="2"/>
  <c r="AI152" i="2"/>
  <c r="AK154" i="2"/>
  <c r="AK156" i="2"/>
  <c r="AF157" i="2"/>
  <c r="AH158" i="2"/>
  <c r="AH159" i="2"/>
  <c r="AH161" i="2"/>
  <c r="AF163" i="2"/>
  <c r="AH155" i="2"/>
  <c r="AK162" i="2"/>
  <c r="AJ179" i="2"/>
  <c r="AF166" i="2"/>
  <c r="AC34" i="2"/>
  <c r="AK36" i="2"/>
  <c r="AB33" i="2"/>
  <c r="AI164" i="2"/>
  <c r="AJ35" i="2"/>
  <c r="AE183" i="2"/>
  <c r="AA168" i="2"/>
  <c r="AF140" i="2"/>
  <c r="AG115" i="2"/>
  <c r="AC113" i="2"/>
  <c r="AL111" i="2"/>
  <c r="AD37" i="2"/>
  <c r="AJ36" i="2"/>
  <c r="AD36" i="2"/>
  <c r="AI35" i="2"/>
  <c r="AC35" i="2"/>
  <c r="AH34" i="2"/>
  <c r="AB34" i="2"/>
  <c r="AG33" i="2"/>
  <c r="AJ190" i="2"/>
  <c r="AE189" i="2"/>
  <c r="V186" i="2"/>
  <c r="T186" i="2" s="1"/>
  <c r="AD184" i="2"/>
  <c r="AG181" i="2"/>
  <c r="AD178" i="2"/>
  <c r="AG175" i="2"/>
  <c r="AK169" i="2"/>
  <c r="AC173" i="2"/>
  <c r="AC167" i="2"/>
  <c r="AD166" i="2"/>
  <c r="AH165" i="2"/>
  <c r="AD164" i="2"/>
  <c r="AE163" i="2"/>
  <c r="AJ162" i="2"/>
  <c r="AE161" i="2"/>
  <c r="AG160" i="2"/>
  <c r="AD159" i="2"/>
  <c r="AE158" i="2"/>
  <c r="AE157" i="2"/>
  <c r="AJ156" i="2"/>
  <c r="AE155" i="2"/>
  <c r="AG154" i="2"/>
  <c r="AH153" i="2"/>
  <c r="AH152" i="2"/>
  <c r="AF151" i="2"/>
  <c r="AK150" i="2"/>
  <c r="AH149" i="2"/>
  <c r="AL144" i="2"/>
  <c r="AD136" i="2"/>
  <c r="AC131" i="2"/>
  <c r="AG127" i="2"/>
  <c r="AH120" i="2"/>
  <c r="AD118" i="2"/>
  <c r="AK116" i="2"/>
  <c r="AK111" i="2"/>
  <c r="AL108" i="2"/>
  <c r="AI102" i="2"/>
  <c r="AA85" i="2"/>
  <c r="AE66" i="2"/>
  <c r="AL37" i="2"/>
  <c r="AC37" i="2"/>
  <c r="AI36" i="2"/>
  <c r="AC36" i="2"/>
  <c r="AH35" i="2"/>
  <c r="AB35" i="2"/>
  <c r="AG34" i="2"/>
  <c r="AL33" i="2"/>
  <c r="AF33" i="2"/>
  <c r="AD190" i="2"/>
  <c r="AG187" i="2"/>
  <c r="AA181" i="2"/>
  <c r="Z178" i="2"/>
  <c r="AA175" i="2"/>
  <c r="AI173" i="2"/>
  <c r="AK170" i="2"/>
  <c r="AI169" i="2"/>
  <c r="AK168" i="2"/>
  <c r="AC166" i="2"/>
  <c r="AG165" i="2"/>
  <c r="AA164" i="2"/>
  <c r="AC163" i="2"/>
  <c r="AG162" i="2"/>
  <c r="AA161" i="2"/>
  <c r="AF160" i="2"/>
  <c r="AC159" i="2"/>
  <c r="AA158" i="2"/>
  <c r="AC157" i="2"/>
  <c r="AG156" i="2"/>
  <c r="AA155" i="2"/>
  <c r="AF154" i="2"/>
  <c r="AD153" i="2"/>
  <c r="AE152" i="2"/>
  <c r="AE151" i="2"/>
  <c r="AJ150" i="2"/>
  <c r="AG149" i="2"/>
  <c r="AK148" i="2"/>
  <c r="AL147" i="2"/>
  <c r="AI146" i="2"/>
  <c r="AJ145" i="2"/>
  <c r="AJ144" i="2"/>
  <c r="AC138" i="2"/>
  <c r="AH133" i="2"/>
  <c r="AK128" i="2"/>
  <c r="AC124" i="2"/>
  <c r="AF141" i="2"/>
  <c r="AC118" i="2"/>
  <c r="AC111" i="2"/>
  <c r="AA108" i="2"/>
  <c r="AJ106" i="2"/>
  <c r="AH102" i="2"/>
  <c r="AC83" i="2"/>
  <c r="AJ37" i="2"/>
  <c r="AB37" i="2"/>
  <c r="AF155" i="2"/>
  <c r="AK129" i="2"/>
  <c r="AH127" i="2"/>
  <c r="AH36" i="2"/>
  <c r="AB36" i="2"/>
  <c r="AG35" i="2"/>
  <c r="AL34" i="2"/>
  <c r="AF34" i="2"/>
  <c r="AK33" i="2"/>
  <c r="AE33" i="2"/>
  <c r="AA187" i="2"/>
  <c r="AL182" i="2"/>
  <c r="AI179" i="2"/>
  <c r="AL176" i="2"/>
  <c r="AB173" i="2"/>
  <c r="AI170" i="2"/>
  <c r="AF169" i="2"/>
  <c r="AH168" i="2"/>
  <c r="AL166" i="2"/>
  <c r="AA166" i="2"/>
  <c r="AE165" i="2"/>
  <c r="AK164" i="2"/>
  <c r="AD162" i="2"/>
  <c r="Z160" i="2"/>
  <c r="AA159" i="2"/>
  <c r="Z158" i="2"/>
  <c r="AD156" i="2"/>
  <c r="AC153" i="2"/>
  <c r="AA152" i="2"/>
  <c r="AC151" i="2"/>
  <c r="AG150" i="2"/>
  <c r="AE149" i="2"/>
  <c r="AG148" i="2"/>
  <c r="AJ147" i="2"/>
  <c r="AD146" i="2"/>
  <c r="AE145" i="2"/>
  <c r="AF144" i="2"/>
  <c r="AE141" i="2"/>
  <c r="AE135" i="2"/>
  <c r="AD119" i="2"/>
  <c r="AH114" i="2"/>
  <c r="AD112" i="2"/>
  <c r="AG109" i="2"/>
  <c r="AE103" i="2"/>
  <c r="AI37" i="2"/>
  <c r="AL35" i="2"/>
  <c r="AF35" i="2"/>
  <c r="AK34" i="2"/>
  <c r="AJ33" i="2"/>
  <c r="AD33" i="2"/>
  <c r="AL188" i="2"/>
  <c r="AI185" i="2"/>
  <c r="AF182" i="2"/>
  <c r="AH180" i="2"/>
  <c r="AC179" i="2"/>
  <c r="AF176" i="2"/>
  <c r="AH174" i="2"/>
  <c r="AD170" i="2"/>
  <c r="AD169" i="2"/>
  <c r="AF168" i="2"/>
  <c r="AL167" i="2"/>
  <c r="AJ166" i="2"/>
  <c r="AD165" i="2"/>
  <c r="AA173" i="2"/>
  <c r="AL159" i="2"/>
  <c r="AA153" i="2"/>
  <c r="Z151" i="2"/>
  <c r="AD150" i="2"/>
  <c r="AA149" i="2"/>
  <c r="AF148" i="2"/>
  <c r="AH147" i="2"/>
  <c r="AC146" i="2"/>
  <c r="AC145" i="2"/>
  <c r="AA139" i="2"/>
  <c r="AC137" i="2"/>
  <c r="AC130" i="2"/>
  <c r="AK139" i="2"/>
  <c r="AK123" i="2"/>
  <c r="AH121" i="2"/>
  <c r="AC119" i="2"/>
  <c r="AK117" i="2"/>
  <c r="AG114" i="2"/>
  <c r="AC112" i="2"/>
  <c r="AK110" i="2"/>
  <c r="AF109" i="2"/>
  <c r="AH107" i="2"/>
  <c r="AI101" i="2"/>
  <c r="AF92" i="2"/>
  <c r="AH84" i="2"/>
  <c r="AH37" i="2"/>
  <c r="AA37" i="2"/>
  <c r="AG36" i="2"/>
  <c r="AE34" i="2"/>
  <c r="AL36" i="2"/>
  <c r="AF36" i="2"/>
  <c r="AK35" i="2"/>
  <c r="AE35" i="2"/>
  <c r="AJ34" i="2"/>
  <c r="AD34" i="2"/>
  <c r="AI33" i="2"/>
  <c r="AC33" i="2"/>
  <c r="AF188" i="2"/>
  <c r="AH186" i="2"/>
  <c r="AK183" i="2"/>
  <c r="AB180" i="2"/>
  <c r="AK177" i="2"/>
  <c r="AB174" i="2"/>
  <c r="AG172" i="2"/>
  <c r="AB170" i="2"/>
  <c r="AA169" i="2"/>
  <c r="AD168" i="2"/>
  <c r="AI167" i="2"/>
  <c r="AG166" i="2"/>
  <c r="AB165" i="2"/>
  <c r="AH164" i="2"/>
  <c r="AL163" i="2"/>
  <c r="AL161" i="2"/>
  <c r="AJ159" i="2"/>
  <c r="AI158" i="2"/>
  <c r="AL157" i="2"/>
  <c r="AL155" i="2"/>
  <c r="AC150" i="2"/>
  <c r="AC148" i="2"/>
  <c r="AC147" i="2"/>
  <c r="AA146" i="2"/>
  <c r="AH143" i="2"/>
  <c r="U137" i="2"/>
  <c r="AH132" i="2"/>
  <c r="AC125" i="2"/>
  <c r="AC123" i="2"/>
  <c r="AC117" i="2"/>
  <c r="AH115" i="2"/>
  <c r="AD113" i="2"/>
  <c r="AG110" i="2"/>
  <c r="AC107" i="2"/>
  <c r="AB101" i="2"/>
  <c r="AD98" i="2"/>
  <c r="Z86" i="2"/>
  <c r="V154" i="2"/>
  <c r="T154" i="2" s="1"/>
  <c r="I154" i="2" s="1"/>
  <c r="Z65" i="2"/>
  <c r="V163" i="2"/>
  <c r="T163" i="2" s="1"/>
  <c r="I163" i="2" s="1"/>
  <c r="V160" i="2"/>
  <c r="T160" i="2" s="1"/>
  <c r="I160" i="2" s="1"/>
  <c r="V81" i="2"/>
  <c r="T81" i="2" s="1"/>
  <c r="U185" i="2"/>
  <c r="U179" i="2"/>
  <c r="U171" i="2"/>
  <c r="U151" i="2"/>
  <c r="AI190" i="2"/>
  <c r="AC190" i="2"/>
  <c r="AJ189" i="2"/>
  <c r="AD189" i="2"/>
  <c r="AK188" i="2"/>
  <c r="AE188" i="2"/>
  <c r="AL187" i="2"/>
  <c r="AF187" i="2"/>
  <c r="U187" i="2" s="1"/>
  <c r="AG186" i="2"/>
  <c r="AA186" i="2"/>
  <c r="U186" i="2"/>
  <c r="AH185" i="2"/>
  <c r="AB185" i="2"/>
  <c r="AI184" i="2"/>
  <c r="AC184" i="2"/>
  <c r="AJ183" i="2"/>
  <c r="AD183" i="2"/>
  <c r="AK182" i="2"/>
  <c r="AE182" i="2"/>
  <c r="AL181" i="2"/>
  <c r="AF181" i="2"/>
  <c r="U181" i="2" s="1"/>
  <c r="AG180" i="2"/>
  <c r="AA180" i="2"/>
  <c r="AH179" i="2"/>
  <c r="AB179" i="2"/>
  <c r="AI178" i="2"/>
  <c r="AC178" i="2"/>
  <c r="AJ177" i="2"/>
  <c r="AD177" i="2"/>
  <c r="AK176" i="2"/>
  <c r="AE176" i="2"/>
  <c r="AL175" i="2"/>
  <c r="AF175" i="2"/>
  <c r="AG174" i="2"/>
  <c r="AA174" i="2"/>
  <c r="AH173" i="2"/>
  <c r="AF172" i="2"/>
  <c r="AJ171" i="2"/>
  <c r="AC171" i="2"/>
  <c r="AH170" i="2"/>
  <c r="AL169" i="2"/>
  <c r="AE169" i="2"/>
  <c r="AJ168" i="2"/>
  <c r="AB168" i="2"/>
  <c r="AH167" i="2"/>
  <c r="AI166" i="2"/>
  <c r="AJ165" i="2"/>
  <c r="AA165" i="2"/>
  <c r="AL164" i="2"/>
  <c r="AB164" i="2"/>
  <c r="AJ163" i="2"/>
  <c r="AC162" i="2"/>
  <c r="AG161" i="2"/>
  <c r="AC160" i="2"/>
  <c r="AB158" i="2"/>
  <c r="AJ157" i="2"/>
  <c r="AC156" i="2"/>
  <c r="AG155" i="2"/>
  <c r="AC154" i="2"/>
  <c r="AL153" i="2"/>
  <c r="AB152" i="2"/>
  <c r="AJ151" i="2"/>
  <c r="AH190" i="2"/>
  <c r="AB190" i="2"/>
  <c r="AI189" i="2"/>
  <c r="AC189" i="2"/>
  <c r="AJ188" i="2"/>
  <c r="AD188" i="2"/>
  <c r="AK187" i="2"/>
  <c r="AE187" i="2"/>
  <c r="AL186" i="2"/>
  <c r="AF186" i="2"/>
  <c r="Z186" i="2"/>
  <c r="AG185" i="2"/>
  <c r="AA185" i="2"/>
  <c r="AH184" i="2"/>
  <c r="AB184" i="2"/>
  <c r="AI183" i="2"/>
  <c r="AC183" i="2"/>
  <c r="AJ182" i="2"/>
  <c r="AD182" i="2"/>
  <c r="AK181" i="2"/>
  <c r="AE181" i="2"/>
  <c r="AL180" i="2"/>
  <c r="AF180" i="2"/>
  <c r="AG179" i="2"/>
  <c r="AA179" i="2"/>
  <c r="AH178" i="2"/>
  <c r="AB178" i="2"/>
  <c r="AI177" i="2"/>
  <c r="AC177" i="2"/>
  <c r="AJ176" i="2"/>
  <c r="AD176" i="2"/>
  <c r="AK175" i="2"/>
  <c r="AE175" i="2"/>
  <c r="AL174" i="2"/>
  <c r="AF174" i="2"/>
  <c r="AG173" i="2"/>
  <c r="AL172" i="2"/>
  <c r="AD172" i="2"/>
  <c r="AI171" i="2"/>
  <c r="AB171" i="2"/>
  <c r="AF170" i="2"/>
  <c r="U161" i="2"/>
  <c r="V157" i="2"/>
  <c r="T157" i="2" s="1"/>
  <c r="U155" i="2"/>
  <c r="AE162" i="2"/>
  <c r="AK171" i="2"/>
  <c r="Z163" i="2"/>
  <c r="AG190" i="2"/>
  <c r="AA190" i="2"/>
  <c r="AH189" i="2"/>
  <c r="AB189" i="2"/>
  <c r="AI188" i="2"/>
  <c r="AC188" i="2"/>
  <c r="AJ187" i="2"/>
  <c r="AD187" i="2"/>
  <c r="AK186" i="2"/>
  <c r="AE186" i="2"/>
  <c r="AL185" i="2"/>
  <c r="AF185" i="2"/>
  <c r="AG184" i="2"/>
  <c r="AA184" i="2"/>
  <c r="AH183" i="2"/>
  <c r="AB183" i="2"/>
  <c r="AI182" i="2"/>
  <c r="AC182" i="2"/>
  <c r="AJ181" i="2"/>
  <c r="AD181" i="2"/>
  <c r="AK180" i="2"/>
  <c r="AE180" i="2"/>
  <c r="AL179" i="2"/>
  <c r="AF179" i="2"/>
  <c r="AG178" i="2"/>
  <c r="AA178" i="2"/>
  <c r="U178" i="2"/>
  <c r="AH177" i="2"/>
  <c r="AB177" i="2"/>
  <c r="AI176" i="2"/>
  <c r="AC176" i="2"/>
  <c r="AJ175" i="2"/>
  <c r="AD175" i="2"/>
  <c r="AK174" i="2"/>
  <c r="AE174" i="2"/>
  <c r="AL173" i="2"/>
  <c r="AF173" i="2"/>
  <c r="U173" i="2" s="1"/>
  <c r="AJ172" i="2"/>
  <c r="AC172" i="2"/>
  <c r="AH171" i="2"/>
  <c r="AA171" i="2"/>
  <c r="AL170" i="2"/>
  <c r="AE170" i="2"/>
  <c r="AJ169" i="2"/>
  <c r="AC169" i="2"/>
  <c r="AG168" i="2"/>
  <c r="AE167" i="2"/>
  <c r="AC164" i="2"/>
  <c r="AJ164" i="2"/>
  <c r="AC165" i="2"/>
  <c r="AI165" i="2"/>
  <c r="AB166" i="2"/>
  <c r="AH166" i="2"/>
  <c r="AA167" i="2"/>
  <c r="AG167" i="2"/>
  <c r="AD158" i="2"/>
  <c r="AK158" i="2"/>
  <c r="AG159" i="2"/>
  <c r="AB160" i="2"/>
  <c r="AI160" i="2"/>
  <c r="AD161" i="2"/>
  <c r="AK161" i="2"/>
  <c r="AF162" i="2"/>
  <c r="AB163" i="2"/>
  <c r="AI163" i="2"/>
  <c r="AC168" i="2"/>
  <c r="AI168" i="2"/>
  <c r="AB169" i="2"/>
  <c r="AH169" i="2"/>
  <c r="AA170" i="2"/>
  <c r="AG170" i="2"/>
  <c r="AF171" i="2"/>
  <c r="AL171" i="2"/>
  <c r="AE172" i="2"/>
  <c r="AK172" i="2"/>
  <c r="AD173" i="2"/>
  <c r="AB161" i="2"/>
  <c r="V122" i="2"/>
  <c r="T122" i="2" s="1"/>
  <c r="Z122" i="2"/>
  <c r="U122" i="2"/>
  <c r="AC185" i="2"/>
  <c r="AD171" i="2"/>
  <c r="AL190" i="2"/>
  <c r="AA189" i="2"/>
  <c r="AH188" i="2"/>
  <c r="AI187" i="2"/>
  <c r="AC187" i="2"/>
  <c r="AJ186" i="2"/>
  <c r="AE185" i="2"/>
  <c r="AL184" i="2"/>
  <c r="AG183" i="2"/>
  <c r="AH182" i="2"/>
  <c r="AD180" i="2"/>
  <c r="AK179" i="2"/>
  <c r="Z179" i="2"/>
  <c r="AF178" i="2"/>
  <c r="AA177" i="2"/>
  <c r="AH176" i="2"/>
  <c r="AC175" i="2"/>
  <c r="AD174" i="2"/>
  <c r="AK173" i="2"/>
  <c r="AE173" i="2"/>
  <c r="AI172" i="2"/>
  <c r="AB172" i="2"/>
  <c r="AG171" i="2"/>
  <c r="V171" i="2"/>
  <c r="T171" i="2" s="1"/>
  <c r="AF190" i="2"/>
  <c r="AG189" i="2"/>
  <c r="AB188" i="2"/>
  <c r="AD186" i="2"/>
  <c r="AK185" i="2"/>
  <c r="V185" i="2"/>
  <c r="T185" i="2" s="1"/>
  <c r="AF184" i="2"/>
  <c r="AA183" i="2"/>
  <c r="AB182" i="2"/>
  <c r="AI181" i="2"/>
  <c r="AC181" i="2"/>
  <c r="AJ180" i="2"/>
  <c r="AE179" i="2"/>
  <c r="AL178" i="2"/>
  <c r="AG177" i="2"/>
  <c r="AB176" i="2"/>
  <c r="AI175" i="2"/>
  <c r="AJ174" i="2"/>
  <c r="AK190" i="2"/>
  <c r="AE190" i="2"/>
  <c r="AL189" i="2"/>
  <c r="AF189" i="2"/>
  <c r="U189" i="2" s="1"/>
  <c r="AG188" i="2"/>
  <c r="AA188" i="2"/>
  <c r="AH187" i="2"/>
  <c r="AB187" i="2"/>
  <c r="AI186" i="2"/>
  <c r="AC186" i="2"/>
  <c r="AJ185" i="2"/>
  <c r="AD185" i="2"/>
  <c r="AK184" i="2"/>
  <c r="AE184" i="2"/>
  <c r="AL183" i="2"/>
  <c r="AF183" i="2"/>
  <c r="AG182" i="2"/>
  <c r="AA182" i="2"/>
  <c r="AH181" i="2"/>
  <c r="AB181" i="2"/>
  <c r="AI180" i="2"/>
  <c r="AC180" i="2"/>
  <c r="AD179" i="2"/>
  <c r="AK178" i="2"/>
  <c r="AE178" i="2"/>
  <c r="AL177" i="2"/>
  <c r="AF177" i="2"/>
  <c r="AG176" i="2"/>
  <c r="AA176" i="2"/>
  <c r="AH175" i="2"/>
  <c r="AB175" i="2"/>
  <c r="AI174" i="2"/>
  <c r="AC174" i="2"/>
  <c r="AJ173" i="2"/>
  <c r="AH172" i="2"/>
  <c r="AA172" i="2"/>
  <c r="AE171" i="2"/>
  <c r="AJ170" i="2"/>
  <c r="AC170" i="2"/>
  <c r="AG169" i="2"/>
  <c r="AL168" i="2"/>
  <c r="AE168" i="2"/>
  <c r="AK167" i="2"/>
  <c r="AB167" i="2"/>
  <c r="AJ167" i="2"/>
  <c r="AD167" i="2"/>
  <c r="AK166" i="2"/>
  <c r="AE166" i="2"/>
  <c r="AL165" i="2"/>
  <c r="AF165" i="2"/>
  <c r="AG164" i="2"/>
  <c r="AK163" i="2"/>
  <c r="AD163" i="2"/>
  <c r="AI162" i="2"/>
  <c r="AA162" i="2"/>
  <c r="AF161" i="2"/>
  <c r="AL160" i="2"/>
  <c r="AE160" i="2"/>
  <c r="AI159" i="2"/>
  <c r="AB159" i="2"/>
  <c r="AG158" i="2"/>
  <c r="AK157" i="2"/>
  <c r="AD157" i="2"/>
  <c r="AI156" i="2"/>
  <c r="AA156" i="2"/>
  <c r="AL154" i="2"/>
  <c r="AE154" i="2"/>
  <c r="AI153" i="2"/>
  <c r="AB153" i="2"/>
  <c r="AG152" i="2"/>
  <c r="AK151" i="2"/>
  <c r="AD151" i="2"/>
  <c r="AI150" i="2"/>
  <c r="AA150" i="2"/>
  <c r="AF149" i="2"/>
  <c r="AL148" i="2"/>
  <c r="AE148" i="2"/>
  <c r="AI147" i="2"/>
  <c r="AA147" i="2"/>
  <c r="AJ146" i="2"/>
  <c r="AB146" i="2"/>
  <c r="AK145" i="2"/>
  <c r="AB145" i="2"/>
  <c r="AI144" i="2"/>
  <c r="AL138" i="2"/>
  <c r="AD137" i="2"/>
  <c r="AE136" i="2"/>
  <c r="AG132" i="2"/>
  <c r="AL129" i="2"/>
  <c r="AG128" i="2"/>
  <c r="AD125" i="2"/>
  <c r="AD124" i="2"/>
  <c r="AG120" i="2"/>
  <c r="AL117" i="2"/>
  <c r="AG116" i="2"/>
  <c r="AI157" i="2"/>
  <c r="AB157" i="2"/>
  <c r="AF156" i="2"/>
  <c r="AK155" i="2"/>
  <c r="AD155" i="2"/>
  <c r="AI154" i="2"/>
  <c r="AB154" i="2"/>
  <c r="AG153" i="2"/>
  <c r="AK152" i="2"/>
  <c r="AD152" i="2"/>
  <c r="AI151" i="2"/>
  <c r="AB151" i="2"/>
  <c r="AF150" i="2"/>
  <c r="AK149" i="2"/>
  <c r="AD149" i="2"/>
  <c r="AI148" i="2"/>
  <c r="AB148" i="2"/>
  <c r="AG147" i="2"/>
  <c r="AH146" i="2"/>
  <c r="AI145" i="2"/>
  <c r="AC144" i="2"/>
  <c r="AD143" i="2"/>
  <c r="AE142" i="2"/>
  <c r="AB138" i="2"/>
  <c r="AG134" i="2"/>
  <c r="AG133" i="2"/>
  <c r="AC129" i="2"/>
  <c r="AH126" i="2"/>
  <c r="AK122" i="2"/>
  <c r="AG121" i="2"/>
  <c r="AH163" i="2"/>
  <c r="AL162" i="2"/>
  <c r="AJ161" i="2"/>
  <c r="AH160" i="2"/>
  <c r="AA160" i="2"/>
  <c r="AF159" i="2"/>
  <c r="AJ158" i="2"/>
  <c r="AC158" i="2"/>
  <c r="AH157" i="2"/>
  <c r="AL156" i="2"/>
  <c r="AE156" i="2"/>
  <c r="AJ155" i="2"/>
  <c r="AB155" i="2"/>
  <c r="AH154" i="2"/>
  <c r="AA154" i="2"/>
  <c r="AF153" i="2"/>
  <c r="AJ152" i="2"/>
  <c r="AC152" i="2"/>
  <c r="AH151" i="2"/>
  <c r="AL150" i="2"/>
  <c r="AE150" i="2"/>
  <c r="AJ149" i="2"/>
  <c r="AB149" i="2"/>
  <c r="AH148" i="2"/>
  <c r="AA148" i="2"/>
  <c r="AF147" i="2"/>
  <c r="AG146" i="2"/>
  <c r="AH145" i="2"/>
  <c r="AB144" i="2"/>
  <c r="AC143" i="2"/>
  <c r="AD142" i="2"/>
  <c r="AF134" i="2"/>
  <c r="AD131" i="2"/>
  <c r="AD130" i="2"/>
  <c r="AG126" i="2"/>
  <c r="AL123" i="2"/>
  <c r="AG122" i="2"/>
  <c r="AG140" i="2"/>
  <c r="AH139" i="2"/>
  <c r="AF135" i="2"/>
  <c r="AI135" i="2"/>
  <c r="AH136" i="2"/>
  <c r="AG137" i="2"/>
  <c r="AF138" i="2"/>
  <c r="AB139" i="2"/>
  <c r="AL139" i="2"/>
  <c r="AJ140" i="2"/>
  <c r="AI141" i="2"/>
  <c r="AH142" i="2"/>
  <c r="AG143" i="2"/>
  <c r="AE144" i="2"/>
  <c r="AK144" i="2"/>
  <c r="AD145" i="2"/>
  <c r="AI130" i="2"/>
  <c r="AI131" i="2"/>
  <c r="AA132" i="2"/>
  <c r="AL132" i="2"/>
  <c r="AA133" i="2"/>
  <c r="AA134" i="2"/>
  <c r="AK134" i="2"/>
  <c r="AJ135" i="2"/>
  <c r="AI136" i="2"/>
  <c r="AH137" i="2"/>
  <c r="AG138" i="2"/>
  <c r="AE139" i="2"/>
  <c r="AA140" i="2"/>
  <c r="AK140" i="2"/>
  <c r="AJ141" i="2"/>
  <c r="AI142" i="2"/>
  <c r="AB136" i="2"/>
  <c r="AJ136" i="2"/>
  <c r="AA137" i="2"/>
  <c r="AI137" i="2"/>
  <c r="AH138" i="2"/>
  <c r="AF139" i="2"/>
  <c r="AD140" i="2"/>
  <c r="AL140" i="2"/>
  <c r="AC141" i="2"/>
  <c r="AK141" i="2"/>
  <c r="AB142" i="2"/>
  <c r="AJ142" i="2"/>
  <c r="AA143" i="2"/>
  <c r="AI143" i="2"/>
  <c r="AG144" i="2"/>
  <c r="AF145" i="2"/>
  <c r="AL145" i="2"/>
  <c r="AE146" i="2"/>
  <c r="AK146" i="2"/>
  <c r="AD147" i="2"/>
  <c r="AB156" i="2"/>
  <c r="AH156" i="2"/>
  <c r="AA157" i="2"/>
  <c r="AG157" i="2"/>
  <c r="AF158" i="2"/>
  <c r="AL158" i="2"/>
  <c r="AE159" i="2"/>
  <c r="AK159" i="2"/>
  <c r="AD160" i="2"/>
  <c r="AJ160" i="2"/>
  <c r="AC161" i="2"/>
  <c r="AI161" i="2"/>
  <c r="AB162" i="2"/>
  <c r="AH162" i="2"/>
  <c r="AA163" i="2"/>
  <c r="AG163" i="2"/>
  <c r="AF164" i="2"/>
  <c r="AE38" i="2"/>
  <c r="AK38" i="2"/>
  <c r="AD39" i="2"/>
  <c r="AJ39" i="2"/>
  <c r="AC40" i="2"/>
  <c r="AI40" i="2"/>
  <c r="AB41" i="2"/>
  <c r="AH41" i="2"/>
  <c r="AA42" i="2"/>
  <c r="AG42" i="2"/>
  <c r="AF43" i="2"/>
  <c r="AL43" i="2"/>
  <c r="AE44" i="2"/>
  <c r="AK44" i="2"/>
  <c r="AD45" i="2"/>
  <c r="AJ45" i="2"/>
  <c r="AC46" i="2"/>
  <c r="AI46" i="2"/>
  <c r="AB47" i="2"/>
  <c r="AH47" i="2"/>
  <c r="AA48" i="2"/>
  <c r="AG48" i="2"/>
  <c r="AF49" i="2"/>
  <c r="AL49" i="2"/>
  <c r="AE50" i="2"/>
  <c r="AK50" i="2"/>
  <c r="AD51" i="2"/>
  <c r="AJ51" i="2"/>
  <c r="AC52" i="2"/>
  <c r="AI52" i="2"/>
  <c r="AB53" i="2"/>
  <c r="AH53" i="2"/>
  <c r="AA54" i="2"/>
  <c r="AG54" i="2"/>
  <c r="AF55" i="2"/>
  <c r="AC41" i="2"/>
  <c r="AI41" i="2"/>
  <c r="AB42" i="2"/>
  <c r="AH42" i="2"/>
  <c r="AA43" i="2"/>
  <c r="AG43" i="2"/>
  <c r="AF44" i="2"/>
  <c r="AL44" i="2"/>
  <c r="AE45" i="2"/>
  <c r="AK45" i="2"/>
  <c r="AD46" i="2"/>
  <c r="AJ46" i="2"/>
  <c r="AC47" i="2"/>
  <c r="AI47" i="2"/>
  <c r="AB48" i="2"/>
  <c r="AH48" i="2"/>
  <c r="AA49" i="2"/>
  <c r="AG49" i="2"/>
  <c r="AF50" i="2"/>
  <c r="AL50" i="2"/>
  <c r="AE51" i="2"/>
  <c r="AK51" i="2"/>
  <c r="AD52" i="2"/>
  <c r="AJ52" i="2"/>
  <c r="AC53" i="2"/>
  <c r="AI53" i="2"/>
  <c r="AB54" i="2"/>
  <c r="AH54" i="2"/>
  <c r="AA55" i="2"/>
  <c r="AG55" i="2"/>
  <c r="AF56" i="2"/>
  <c r="AL56" i="2"/>
  <c r="AE57" i="2"/>
  <c r="AK57" i="2"/>
  <c r="AD58" i="2"/>
  <c r="AJ58" i="2"/>
  <c r="AC59" i="2"/>
  <c r="AI59" i="2"/>
  <c r="AB60" i="2"/>
  <c r="AH60" i="2"/>
  <c r="AA61" i="2"/>
  <c r="AG61" i="2"/>
  <c r="AF62" i="2"/>
  <c r="AL62" i="2"/>
  <c r="AE63" i="2"/>
  <c r="AK63" i="2"/>
  <c r="AD64" i="2"/>
  <c r="AJ64" i="2"/>
  <c r="AA38" i="2"/>
  <c r="AG38" i="2"/>
  <c r="AF39" i="2"/>
  <c r="AL39" i="2"/>
  <c r="AE40" i="2"/>
  <c r="AK40" i="2"/>
  <c r="AD41" i="2"/>
  <c r="AJ41" i="2"/>
  <c r="AC42" i="2"/>
  <c r="AI42" i="2"/>
  <c r="AB43" i="2"/>
  <c r="AH43" i="2"/>
  <c r="AA44" i="2"/>
  <c r="AG44" i="2"/>
  <c r="AF45" i="2"/>
  <c r="AL45" i="2"/>
  <c r="AE46" i="2"/>
  <c r="AK46" i="2"/>
  <c r="AB38" i="2"/>
  <c r="AH38" i="2"/>
  <c r="AA39" i="2"/>
  <c r="AG39" i="2"/>
  <c r="AF40" i="2"/>
  <c r="AL40" i="2"/>
  <c r="AE41" i="2"/>
  <c r="AK41" i="2"/>
  <c r="AD42" i="2"/>
  <c r="AJ42" i="2"/>
  <c r="AC43" i="2"/>
  <c r="AI43" i="2"/>
  <c r="AB44" i="2"/>
  <c r="AH44" i="2"/>
  <c r="AA45" i="2"/>
  <c r="AG45" i="2"/>
  <c r="AF46" i="2"/>
  <c r="AL46" i="2"/>
  <c r="AE47" i="2"/>
  <c r="AK47" i="2"/>
  <c r="AD48" i="2"/>
  <c r="AJ48" i="2"/>
  <c r="AC49" i="2"/>
  <c r="AI49" i="2"/>
  <c r="AB50" i="2"/>
  <c r="AH50" i="2"/>
  <c r="AA51" i="2"/>
  <c r="AG51" i="2"/>
  <c r="AF52" i="2"/>
  <c r="AL52" i="2"/>
  <c r="AE53" i="2"/>
  <c r="AK53" i="2"/>
  <c r="AD54" i="2"/>
  <c r="AJ54" i="2"/>
  <c r="AC55" i="2"/>
  <c r="AI55" i="2"/>
  <c r="AB56" i="2"/>
  <c r="AC39" i="2"/>
  <c r="AI39" i="2"/>
  <c r="AB40" i="2"/>
  <c r="AH40" i="2"/>
  <c r="AA41" i="2"/>
  <c r="AG41" i="2"/>
  <c r="AF42" i="2"/>
  <c r="AL42" i="2"/>
  <c r="AE43" i="2"/>
  <c r="AK43" i="2"/>
  <c r="AD44" i="2"/>
  <c r="AJ44" i="2"/>
  <c r="AC45" i="2"/>
  <c r="AI45" i="2"/>
  <c r="AB46" i="2"/>
  <c r="AH46" i="2"/>
  <c r="AA47" i="2"/>
  <c r="AG47" i="2"/>
  <c r="AF48" i="2"/>
  <c r="AL48" i="2"/>
  <c r="AE49" i="2"/>
  <c r="AK49" i="2"/>
  <c r="AD50" i="2"/>
  <c r="AJ50" i="2"/>
  <c r="AC51" i="2"/>
  <c r="AI51" i="2"/>
  <c r="AB52" i="2"/>
  <c r="AH52" i="2"/>
  <c r="AA53" i="2"/>
  <c r="AG53" i="2"/>
  <c r="AF54" i="2"/>
  <c r="AL54" i="2"/>
  <c r="AE55" i="2"/>
  <c r="AK55" i="2"/>
  <c r="AD56" i="2"/>
  <c r="AJ56" i="2"/>
  <c r="AC57" i="2"/>
  <c r="AI57" i="2"/>
  <c r="AB58" i="2"/>
  <c r="AH58" i="2"/>
  <c r="AA59" i="2"/>
  <c r="AG59" i="2"/>
  <c r="AF60" i="2"/>
  <c r="AL60" i="2"/>
  <c r="AE61" i="2"/>
  <c r="AK61" i="2"/>
  <c r="AD62" i="2"/>
  <c r="AJ62" i="2"/>
  <c r="AI38" i="2"/>
  <c r="AD43" i="2"/>
  <c r="AJ49" i="2"/>
  <c r="AI50" i="2"/>
  <c r="AB51" i="2"/>
  <c r="AJ53" i="2"/>
  <c r="AI54" i="2"/>
  <c r="AD55" i="2"/>
  <c r="AI56" i="2"/>
  <c r="AG57" i="2"/>
  <c r="AF58" i="2"/>
  <c r="AD59" i="2"/>
  <c r="AL59" i="2"/>
  <c r="AC60" i="2"/>
  <c r="AK60" i="2"/>
  <c r="AB61" i="2"/>
  <c r="AJ61" i="2"/>
  <c r="AA62" i="2"/>
  <c r="AI62" i="2"/>
  <c r="AF63" i="2"/>
  <c r="AA64" i="2"/>
  <c r="AH64" i="2"/>
  <c r="AB65" i="2"/>
  <c r="AH65" i="2"/>
  <c r="AA66" i="2"/>
  <c r="AG66" i="2"/>
  <c r="AF67" i="2"/>
  <c r="AL67" i="2"/>
  <c r="AE68" i="2"/>
  <c r="AK68" i="2"/>
  <c r="AD69" i="2"/>
  <c r="AJ69" i="2"/>
  <c r="AC70" i="2"/>
  <c r="AI70" i="2"/>
  <c r="AB71" i="2"/>
  <c r="AH71" i="2"/>
  <c r="AA72" i="2"/>
  <c r="AG72" i="2"/>
  <c r="AF73" i="2"/>
  <c r="AL73" i="2"/>
  <c r="AE74" i="2"/>
  <c r="AK74" i="2"/>
  <c r="AJ43" i="2"/>
  <c r="AA46" i="2"/>
  <c r="AF51" i="2"/>
  <c r="AA52" i="2"/>
  <c r="AL53" i="2"/>
  <c r="AK54" i="2"/>
  <c r="AH55" i="2"/>
  <c r="AA56" i="2"/>
  <c r="AK56" i="2"/>
  <c r="AH57" i="2"/>
  <c r="AG58" i="2"/>
  <c r="AE59" i="2"/>
  <c r="AD60" i="2"/>
  <c r="AC61" i="2"/>
  <c r="AL61" i="2"/>
  <c r="AB62" i="2"/>
  <c r="AK62" i="2"/>
  <c r="AG63" i="2"/>
  <c r="AB64" i="2"/>
  <c r="AI64" i="2"/>
  <c r="AC65" i="2"/>
  <c r="AI65" i="2"/>
  <c r="AB66" i="2"/>
  <c r="AH66" i="2"/>
  <c r="AA67" i="2"/>
  <c r="AG67" i="2"/>
  <c r="AF68" i="2"/>
  <c r="AL68" i="2"/>
  <c r="AE69" i="2"/>
  <c r="AK69" i="2"/>
  <c r="AD70" i="2"/>
  <c r="AJ70" i="2"/>
  <c r="AC71" i="2"/>
  <c r="AI71" i="2"/>
  <c r="AB72" i="2"/>
  <c r="AH72" i="2"/>
  <c r="AA73" i="2"/>
  <c r="AG73" i="2"/>
  <c r="AF74" i="2"/>
  <c r="AL74" i="2"/>
  <c r="AE42" i="2"/>
  <c r="AB45" i="2"/>
  <c r="AG46" i="2"/>
  <c r="AD47" i="2"/>
  <c r="AC48" i="2"/>
  <c r="AH51" i="2"/>
  <c r="AE52" i="2"/>
  <c r="AJ55" i="2"/>
  <c r="AC56" i="2"/>
  <c r="AA57" i="2"/>
  <c r="AJ57" i="2"/>
  <c r="AI58" i="2"/>
  <c r="AF59" i="2"/>
  <c r="AE60" i="2"/>
  <c r="AD61" i="2"/>
  <c r="AC62" i="2"/>
  <c r="AA63" i="2"/>
  <c r="AH63" i="2"/>
  <c r="AC64" i="2"/>
  <c r="AK64" i="2"/>
  <c r="AD65" i="2"/>
  <c r="AJ65" i="2"/>
  <c r="AC66" i="2"/>
  <c r="AC38" i="2"/>
  <c r="AH39" i="2"/>
  <c r="AL41" i="2"/>
  <c r="AL47" i="2"/>
  <c r="AK48" i="2"/>
  <c r="AH49" i="2"/>
  <c r="AG50" i="2"/>
  <c r="AF53" i="2"/>
  <c r="AE54" i="2"/>
  <c r="AB55" i="2"/>
  <c r="AH56" i="2"/>
  <c r="AF57" i="2"/>
  <c r="AE58" i="2"/>
  <c r="AB59" i="2"/>
  <c r="AK59" i="2"/>
  <c r="AA60" i="2"/>
  <c r="AJ60" i="2"/>
  <c r="AI61" i="2"/>
  <c r="AH62" i="2"/>
  <c r="AD63" i="2"/>
  <c r="AL63" i="2"/>
  <c r="AG64" i="2"/>
  <c r="AA65" i="2"/>
  <c r="AG65" i="2"/>
  <c r="AF66" i="2"/>
  <c r="AL66" i="2"/>
  <c r="AE67" i="2"/>
  <c r="AK67" i="2"/>
  <c r="AD68" i="2"/>
  <c r="AJ68" i="2"/>
  <c r="AC69" i="2"/>
  <c r="AI69" i="2"/>
  <c r="AB70" i="2"/>
  <c r="AH70" i="2"/>
  <c r="AA71" i="2"/>
  <c r="AG71" i="2"/>
  <c r="AF72" i="2"/>
  <c r="AL72" i="2"/>
  <c r="AE73" i="2"/>
  <c r="AK73" i="2"/>
  <c r="AD74" i="2"/>
  <c r="AJ74" i="2"/>
  <c r="AC75" i="2"/>
  <c r="AI75" i="2"/>
  <c r="AB76" i="2"/>
  <c r="AH76" i="2"/>
  <c r="AA77" i="2"/>
  <c r="AG77" i="2"/>
  <c r="AF78" i="2"/>
  <c r="AL78" i="2"/>
  <c r="AE79" i="2"/>
  <c r="AK79" i="2"/>
  <c r="AD80" i="2"/>
  <c r="AJ80" i="2"/>
  <c r="AC81" i="2"/>
  <c r="AI81" i="2"/>
  <c r="AB82" i="2"/>
  <c r="AI44" i="2"/>
  <c r="AF47" i="2"/>
  <c r="AG52" i="2"/>
  <c r="AD53" i="2"/>
  <c r="AL55" i="2"/>
  <c r="AL57" i="2"/>
  <c r="AL58" i="2"/>
  <c r="AJ59" i="2"/>
  <c r="AE62" i="2"/>
  <c r="AB63" i="2"/>
  <c r="AE64" i="2"/>
  <c r="AJ66" i="2"/>
  <c r="AC67" i="2"/>
  <c r="AH68" i="2"/>
  <c r="AG69" i="2"/>
  <c r="AK70" i="2"/>
  <c r="AL71" i="2"/>
  <c r="AE72" i="2"/>
  <c r="AJ73" i="2"/>
  <c r="AC74" i="2"/>
  <c r="AB75" i="2"/>
  <c r="AJ75" i="2"/>
  <c r="AE76" i="2"/>
  <c r="AL76" i="2"/>
  <c r="AH77" i="2"/>
  <c r="AC78" i="2"/>
  <c r="AJ78" i="2"/>
  <c r="AF79" i="2"/>
  <c r="AA80" i="2"/>
  <c r="AH80" i="2"/>
  <c r="AB81" i="2"/>
  <c r="AJ81" i="2"/>
  <c r="AE82" i="2"/>
  <c r="AK82" i="2"/>
  <c r="AD83" i="2"/>
  <c r="AJ83" i="2"/>
  <c r="AC84" i="2"/>
  <c r="AI84" i="2"/>
  <c r="AB85" i="2"/>
  <c r="AH85" i="2"/>
  <c r="AA86" i="2"/>
  <c r="AG86" i="2"/>
  <c r="AF87" i="2"/>
  <c r="AL87" i="2"/>
  <c r="AE88" i="2"/>
  <c r="AK88" i="2"/>
  <c r="AD89" i="2"/>
  <c r="AJ89" i="2"/>
  <c r="AC90" i="2"/>
  <c r="AI90" i="2"/>
  <c r="AB91" i="2"/>
  <c r="AH91" i="2"/>
  <c r="AA92" i="2"/>
  <c r="AG92" i="2"/>
  <c r="AF93" i="2"/>
  <c r="AL93" i="2"/>
  <c r="AE94" i="2"/>
  <c r="AK94" i="2"/>
  <c r="AD95" i="2"/>
  <c r="AJ95" i="2"/>
  <c r="AC96" i="2"/>
  <c r="AB39" i="2"/>
  <c r="AK42" i="2"/>
  <c r="AJ47" i="2"/>
  <c r="AB49" i="2"/>
  <c r="AK52" i="2"/>
  <c r="AG62" i="2"/>
  <c r="AC63" i="2"/>
  <c r="AF64" i="2"/>
  <c r="AK66" i="2"/>
  <c r="AD67" i="2"/>
  <c r="AI68" i="2"/>
  <c r="AH69" i="2"/>
  <c r="AL70" i="2"/>
  <c r="AD71" i="2"/>
  <c r="AI72" i="2"/>
  <c r="AB73" i="2"/>
  <c r="AG74" i="2"/>
  <c r="AD75" i="2"/>
  <c r="AK75" i="2"/>
  <c r="AF76" i="2"/>
  <c r="AB77" i="2"/>
  <c r="AI77" i="2"/>
  <c r="AD78" i="2"/>
  <c r="AK78" i="2"/>
  <c r="AG79" i="2"/>
  <c r="AB80" i="2"/>
  <c r="AI80" i="2"/>
  <c r="AD81" i="2"/>
  <c r="AK81" i="2"/>
  <c r="AF82" i="2"/>
  <c r="AL82" i="2"/>
  <c r="AE83" i="2"/>
  <c r="AK83" i="2"/>
  <c r="AD84" i="2"/>
  <c r="AJ84" i="2"/>
  <c r="AC85" i="2"/>
  <c r="AI85" i="2"/>
  <c r="AB86" i="2"/>
  <c r="AH86" i="2"/>
  <c r="AA87" i="2"/>
  <c r="AG87" i="2"/>
  <c r="AF88" i="2"/>
  <c r="AL88" i="2"/>
  <c r="AE89" i="2"/>
  <c r="AK89" i="2"/>
  <c r="AD90" i="2"/>
  <c r="AJ90" i="2"/>
  <c r="AC91" i="2"/>
  <c r="AI91" i="2"/>
  <c r="AB92" i="2"/>
  <c r="AH92" i="2"/>
  <c r="AA93" i="2"/>
  <c r="AG93" i="2"/>
  <c r="AF94" i="2"/>
  <c r="AL94" i="2"/>
  <c r="AE95" i="2"/>
  <c r="AD49" i="2"/>
  <c r="AL51" i="2"/>
  <c r="AF61" i="2"/>
  <c r="AI63" i="2"/>
  <c r="AL64" i="2"/>
  <c r="AE65" i="2"/>
  <c r="AH67" i="2"/>
  <c r="AA68" i="2"/>
  <c r="AL69" i="2"/>
  <c r="AA70" i="2"/>
  <c r="AE71" i="2"/>
  <c r="AJ72" i="2"/>
  <c r="AC73" i="2"/>
  <c r="AH74" i="2"/>
  <c r="AE75" i="2"/>
  <c r="AL75" i="2"/>
  <c r="AG76" i="2"/>
  <c r="AC77" i="2"/>
  <c r="AJ77" i="2"/>
  <c r="AE78" i="2"/>
  <c r="AA79" i="2"/>
  <c r="AH79" i="2"/>
  <c r="AC80" i="2"/>
  <c r="AK80" i="2"/>
  <c r="AE81" i="2"/>
  <c r="AL81" i="2"/>
  <c r="AG82" i="2"/>
  <c r="AF83" i="2"/>
  <c r="AL83" i="2"/>
  <c r="AE84" i="2"/>
  <c r="AK84" i="2"/>
  <c r="AD85" i="2"/>
  <c r="AJ85" i="2"/>
  <c r="AC86" i="2"/>
  <c r="AI86" i="2"/>
  <c r="AB87" i="2"/>
  <c r="AH87" i="2"/>
  <c r="AA88" i="2"/>
  <c r="AG88" i="2"/>
  <c r="AF89" i="2"/>
  <c r="AL89" i="2"/>
  <c r="AE90" i="2"/>
  <c r="AK90" i="2"/>
  <c r="AD91" i="2"/>
  <c r="AJ91" i="2"/>
  <c r="AH45" i="2"/>
  <c r="AE48" i="2"/>
  <c r="AC54" i="2"/>
  <c r="AA58" i="2"/>
  <c r="AH61" i="2"/>
  <c r="AJ63" i="2"/>
  <c r="AF65" i="2"/>
  <c r="AD66" i="2"/>
  <c r="AI67" i="2"/>
  <c r="AB68" i="2"/>
  <c r="AA69" i="2"/>
  <c r="AE70" i="2"/>
  <c r="AF71" i="2"/>
  <c r="AK72" i="2"/>
  <c r="AD73" i="2"/>
  <c r="AI74" i="2"/>
  <c r="AF75" i="2"/>
  <c r="AA76" i="2"/>
  <c r="AI76" i="2"/>
  <c r="AD77" i="2"/>
  <c r="AK77" i="2"/>
  <c r="AG78" i="2"/>
  <c r="AB79" i="2"/>
  <c r="AI79" i="2"/>
  <c r="AE80" i="2"/>
  <c r="AL80" i="2"/>
  <c r="AF81" i="2"/>
  <c r="AA82" i="2"/>
  <c r="AH82" i="2"/>
  <c r="AA83" i="2"/>
  <c r="AG83" i="2"/>
  <c r="AF84" i="2"/>
  <c r="AL84" i="2"/>
  <c r="AE85" i="2"/>
  <c r="AK85" i="2"/>
  <c r="AD86" i="2"/>
  <c r="AJ86" i="2"/>
  <c r="AC87" i="2"/>
  <c r="AI87" i="2"/>
  <c r="AB88" i="2"/>
  <c r="AH88" i="2"/>
  <c r="AA89" i="2"/>
  <c r="AG89" i="2"/>
  <c r="AF90" i="2"/>
  <c r="AL90" i="2"/>
  <c r="AE91" i="2"/>
  <c r="AK91" i="2"/>
  <c r="AD92" i="2"/>
  <c r="AJ92" i="2"/>
  <c r="AC93" i="2"/>
  <c r="AI93" i="2"/>
  <c r="AG68" i="2"/>
  <c r="AF70" i="2"/>
  <c r="AK71" i="2"/>
  <c r="AA75" i="2"/>
  <c r="AD76" i="2"/>
  <c r="AE77" i="2"/>
  <c r="AA78" i="2"/>
  <c r="AC79" i="2"/>
  <c r="AH81" i="2"/>
  <c r="AJ82" i="2"/>
  <c r="AI83" i="2"/>
  <c r="AA84" i="2"/>
  <c r="AL85" i="2"/>
  <c r="AF86" i="2"/>
  <c r="AD87" i="2"/>
  <c r="AC88" i="2"/>
  <c r="AB89" i="2"/>
  <c r="AH90" i="2"/>
  <c r="AA91" i="2"/>
  <c r="AK92" i="2"/>
  <c r="AB93" i="2"/>
  <c r="AC94" i="2"/>
  <c r="AB95" i="2"/>
  <c r="AK95" i="2"/>
  <c r="AE96" i="2"/>
  <c r="AK96" i="2"/>
  <c r="AD97" i="2"/>
  <c r="AJ97" i="2"/>
  <c r="AC98" i="2"/>
  <c r="AI98" i="2"/>
  <c r="AB99" i="2"/>
  <c r="AH99" i="2"/>
  <c r="AA100" i="2"/>
  <c r="AG100" i="2"/>
  <c r="AF101" i="2"/>
  <c r="AL101" i="2"/>
  <c r="AE102" i="2"/>
  <c r="AK102" i="2"/>
  <c r="AD103" i="2"/>
  <c r="AJ103" i="2"/>
  <c r="AC104" i="2"/>
  <c r="AI104" i="2"/>
  <c r="AB105" i="2"/>
  <c r="AH105" i="2"/>
  <c r="AA106" i="2"/>
  <c r="AG106" i="2"/>
  <c r="AF107" i="2"/>
  <c r="AL107" i="2"/>
  <c r="AE108" i="2"/>
  <c r="AK108" i="2"/>
  <c r="AD109" i="2"/>
  <c r="AJ109" i="2"/>
  <c r="AC110" i="2"/>
  <c r="AI110" i="2"/>
  <c r="AB111" i="2"/>
  <c r="AH111" i="2"/>
  <c r="AA112" i="2"/>
  <c r="AG112" i="2"/>
  <c r="AF113" i="2"/>
  <c r="AL113" i="2"/>
  <c r="AE114" i="2"/>
  <c r="AK114" i="2"/>
  <c r="AD115" i="2"/>
  <c r="AJ115" i="2"/>
  <c r="AC116" i="2"/>
  <c r="AI116" i="2"/>
  <c r="AB117" i="2"/>
  <c r="AH117" i="2"/>
  <c r="AA118" i="2"/>
  <c r="AG118" i="2"/>
  <c r="AF119" i="2"/>
  <c r="AL119" i="2"/>
  <c r="AE120" i="2"/>
  <c r="AK120" i="2"/>
  <c r="AD121" i="2"/>
  <c r="AJ121" i="2"/>
  <c r="AC122" i="2"/>
  <c r="AI122" i="2"/>
  <c r="AB123" i="2"/>
  <c r="AH123" i="2"/>
  <c r="AA124" i="2"/>
  <c r="AG124" i="2"/>
  <c r="AF125" i="2"/>
  <c r="AL125" i="2"/>
  <c r="AE126" i="2"/>
  <c r="AK126" i="2"/>
  <c r="AD127" i="2"/>
  <c r="AJ127" i="2"/>
  <c r="AC128" i="2"/>
  <c r="AI128" i="2"/>
  <c r="AB129" i="2"/>
  <c r="AH129" i="2"/>
  <c r="AA130" i="2"/>
  <c r="AG130" i="2"/>
  <c r="AF131" i="2"/>
  <c r="AL131" i="2"/>
  <c r="AE132" i="2"/>
  <c r="AK132" i="2"/>
  <c r="AD133" i="2"/>
  <c r="AJ133" i="2"/>
  <c r="AC134" i="2"/>
  <c r="AI134" i="2"/>
  <c r="AB135" i="2"/>
  <c r="AH135" i="2"/>
  <c r="AA136" i="2"/>
  <c r="AG136" i="2"/>
  <c r="AF137" i="2"/>
  <c r="AL137" i="2"/>
  <c r="AE138" i="2"/>
  <c r="AK138" i="2"/>
  <c r="AD139" i="2"/>
  <c r="AJ139" i="2"/>
  <c r="AC140" i="2"/>
  <c r="AI140" i="2"/>
  <c r="AB141" i="2"/>
  <c r="AH141" i="2"/>
  <c r="AA142" i="2"/>
  <c r="AG142" i="2"/>
  <c r="AF143" i="2"/>
  <c r="AL143" i="2"/>
  <c r="AA50" i="2"/>
  <c r="AE56" i="2"/>
  <c r="AB57" i="2"/>
  <c r="AB67" i="2"/>
  <c r="AB69" i="2"/>
  <c r="AG70" i="2"/>
  <c r="AH73" i="2"/>
  <c r="AG75" i="2"/>
  <c r="AJ76" i="2"/>
  <c r="AF77" i="2"/>
  <c r="AB78" i="2"/>
  <c r="AD79" i="2"/>
  <c r="AB84" i="2"/>
  <c r="AK86" i="2"/>
  <c r="AE87" i="2"/>
  <c r="AD88" i="2"/>
  <c r="AC89" i="2"/>
  <c r="AF91" i="2"/>
  <c r="AL92" i="2"/>
  <c r="AD93" i="2"/>
  <c r="AD94" i="2"/>
  <c r="AC95" i="2"/>
  <c r="AL95" i="2"/>
  <c r="AF96" i="2"/>
  <c r="AL96" i="2"/>
  <c r="AE97" i="2"/>
  <c r="AC50" i="2"/>
  <c r="AG56" i="2"/>
  <c r="AD57" i="2"/>
  <c r="AG60" i="2"/>
  <c r="AJ67" i="2"/>
  <c r="AF69" i="2"/>
  <c r="AI73" i="2"/>
  <c r="AH75" i="2"/>
  <c r="AK76" i="2"/>
  <c r="AL77" i="2"/>
  <c r="AH78" i="2"/>
  <c r="AJ79" i="2"/>
  <c r="AF80" i="2"/>
  <c r="AG84" i="2"/>
  <c r="AL86" i="2"/>
  <c r="AJ87" i="2"/>
  <c r="AI88" i="2"/>
  <c r="AH89" i="2"/>
  <c r="AG91" i="2"/>
  <c r="AC92" i="2"/>
  <c r="AE93" i="2"/>
  <c r="AG94" i="2"/>
  <c r="AF95" i="2"/>
  <c r="AG96" i="2"/>
  <c r="AF97" i="2"/>
  <c r="AL97" i="2"/>
  <c r="AE98" i="2"/>
  <c r="AK98" i="2"/>
  <c r="AD99" i="2"/>
  <c r="AJ99" i="2"/>
  <c r="AC100" i="2"/>
  <c r="AI100" i="2"/>
  <c r="AK58" i="2"/>
  <c r="AL65" i="2"/>
  <c r="AC68" i="2"/>
  <c r="AJ71" i="2"/>
  <c r="AB74" i="2"/>
  <c r="AC76" i="2"/>
  <c r="AG81" i="2"/>
  <c r="AI82" i="2"/>
  <c r="AH83" i="2"/>
  <c r="AG85" i="2"/>
  <c r="AE86" i="2"/>
  <c r="AG90" i="2"/>
  <c r="AI92" i="2"/>
  <c r="AK93" i="2"/>
  <c r="AB94" i="2"/>
  <c r="AJ94" i="2"/>
  <c r="AA95" i="2"/>
  <c r="AI95" i="2"/>
  <c r="AD96" i="2"/>
  <c r="AJ96" i="2"/>
  <c r="AC97" i="2"/>
  <c r="AI97" i="2"/>
  <c r="AB98" i="2"/>
  <c r="AH98" i="2"/>
  <c r="AA99" i="2"/>
  <c r="AG99" i="2"/>
  <c r="AF100" i="2"/>
  <c r="AL100" i="2"/>
  <c r="AE101" i="2"/>
  <c r="AK101" i="2"/>
  <c r="AD102" i="2"/>
  <c r="AJ102" i="2"/>
  <c r="AC103" i="2"/>
  <c r="AI103" i="2"/>
  <c r="AB104" i="2"/>
  <c r="AH104" i="2"/>
  <c r="AA105" i="2"/>
  <c r="AG105" i="2"/>
  <c r="AF106" i="2"/>
  <c r="AL106" i="2"/>
  <c r="AE107" i="2"/>
  <c r="AK107" i="2"/>
  <c r="AD108" i="2"/>
  <c r="AJ108" i="2"/>
  <c r="AC109" i="2"/>
  <c r="AI109" i="2"/>
  <c r="AB110" i="2"/>
  <c r="AH110" i="2"/>
  <c r="AA111" i="2"/>
  <c r="AG111" i="2"/>
  <c r="AF112" i="2"/>
  <c r="AL112" i="2"/>
  <c r="AE113" i="2"/>
  <c r="AK113" i="2"/>
  <c r="AD114" i="2"/>
  <c r="AJ114" i="2"/>
  <c r="AC115" i="2"/>
  <c r="AI115" i="2"/>
  <c r="AB116" i="2"/>
  <c r="AH116" i="2"/>
  <c r="AA117" i="2"/>
  <c r="AG117" i="2"/>
  <c r="AF118" i="2"/>
  <c r="AL118" i="2"/>
  <c r="AE119" i="2"/>
  <c r="AK119" i="2"/>
  <c r="AD120" i="2"/>
  <c r="AJ120" i="2"/>
  <c r="AC121" i="2"/>
  <c r="AI121" i="2"/>
  <c r="AB122" i="2"/>
  <c r="AH122" i="2"/>
  <c r="AA123" i="2"/>
  <c r="AG123" i="2"/>
  <c r="AF124" i="2"/>
  <c r="U124" i="2" s="1"/>
  <c r="AL124" i="2"/>
  <c r="AE125" i="2"/>
  <c r="AK125" i="2"/>
  <c r="AD126" i="2"/>
  <c r="AJ126" i="2"/>
  <c r="AC127" i="2"/>
  <c r="AI127" i="2"/>
  <c r="AB128" i="2"/>
  <c r="AH128" i="2"/>
  <c r="AA129" i="2"/>
  <c r="AG129" i="2"/>
  <c r="AF130" i="2"/>
  <c r="AL130" i="2"/>
  <c r="AE131" i="2"/>
  <c r="AK131" i="2"/>
  <c r="AD132" i="2"/>
  <c r="AJ132" i="2"/>
  <c r="AC133" i="2"/>
  <c r="AI133" i="2"/>
  <c r="AB134" i="2"/>
  <c r="AH134" i="2"/>
  <c r="AA135" i="2"/>
  <c r="AG135" i="2"/>
  <c r="AF136" i="2"/>
  <c r="AL136" i="2"/>
  <c r="AE137" i="2"/>
  <c r="AK137" i="2"/>
  <c r="AD138" i="2"/>
  <c r="AJ138" i="2"/>
  <c r="AC139" i="2"/>
  <c r="AI139" i="2"/>
  <c r="AB140" i="2"/>
  <c r="AH140" i="2"/>
  <c r="AA141" i="2"/>
  <c r="AG141" i="2"/>
  <c r="AF142" i="2"/>
  <c r="AL142" i="2"/>
  <c r="AE143" i="2"/>
  <c r="AK143" i="2"/>
  <c r="AD144" i="2"/>
  <c r="AI66" i="2"/>
  <c r="AC82" i="2"/>
  <c r="AK87" i="2"/>
  <c r="AB90" i="2"/>
  <c r="AA94" i="2"/>
  <c r="AH95" i="2"/>
  <c r="AB97" i="2"/>
  <c r="AF98" i="2"/>
  <c r="AK99" i="2"/>
  <c r="AB100" i="2"/>
  <c r="AC101" i="2"/>
  <c r="AB102" i="2"/>
  <c r="AL102" i="2"/>
  <c r="AG103" i="2"/>
  <c r="AE104" i="2"/>
  <c r="AD105" i="2"/>
  <c r="AL105" i="2"/>
  <c r="AC106" i="2"/>
  <c r="AK106" i="2"/>
  <c r="AI60" i="2"/>
  <c r="AK65" i="2"/>
  <c r="AC72" i="2"/>
  <c r="AI78" i="2"/>
  <c r="AD82" i="2"/>
  <c r="AH94" i="2"/>
  <c r="AA96" i="2"/>
  <c r="AG97" i="2"/>
  <c r="AG98" i="2"/>
  <c r="AL99" i="2"/>
  <c r="AD100" i="2"/>
  <c r="AD101" i="2"/>
  <c r="AC102" i="2"/>
  <c r="AH103" i="2"/>
  <c r="AF104" i="2"/>
  <c r="AD72" i="2"/>
  <c r="AJ88" i="2"/>
  <c r="AH93" i="2"/>
  <c r="AI94" i="2"/>
  <c r="AB96" i="2"/>
  <c r="AH97" i="2"/>
  <c r="AJ98" i="2"/>
  <c r="AC99" i="2"/>
  <c r="AE100" i="2"/>
  <c r="AG101" i="2"/>
  <c r="AF102" i="2"/>
  <c r="AA103" i="2"/>
  <c r="AK103" i="2"/>
  <c r="AG104" i="2"/>
  <c r="AF105" i="2"/>
  <c r="AE106" i="2"/>
  <c r="AD107" i="2"/>
  <c r="AC108" i="2"/>
  <c r="AA109" i="2"/>
  <c r="AK109" i="2"/>
  <c r="AA40" i="2"/>
  <c r="AF41" i="2"/>
  <c r="AC44" i="2"/>
  <c r="AI48" i="2"/>
  <c r="AH59" i="2"/>
  <c r="AG80" i="2"/>
  <c r="AB83" i="2"/>
  <c r="AE92" i="2"/>
  <c r="AJ93" i="2"/>
  <c r="AH96" i="2"/>
  <c r="AK97" i="2"/>
  <c r="AL98" i="2"/>
  <c r="AE99" i="2"/>
  <c r="AH100" i="2"/>
  <c r="AH101" i="2"/>
  <c r="AG102" i="2"/>
  <c r="AB103" i="2"/>
  <c r="AL103" i="2"/>
  <c r="AJ104" i="2"/>
  <c r="AI105" i="2"/>
  <c r="AH106" i="2"/>
  <c r="AG107" i="2"/>
  <c r="AF108" i="2"/>
  <c r="AB109" i="2"/>
  <c r="AL109" i="2"/>
  <c r="AJ110" i="2"/>
  <c r="AI111" i="2"/>
  <c r="AH112" i="2"/>
  <c r="AG113" i="2"/>
  <c r="AF114" i="2"/>
  <c r="AB115" i="2"/>
  <c r="AL115" i="2"/>
  <c r="AJ116" i="2"/>
  <c r="AI117" i="2"/>
  <c r="AH118" i="2"/>
  <c r="AG119" i="2"/>
  <c r="AF120" i="2"/>
  <c r="AB121" i="2"/>
  <c r="AL121" i="2"/>
  <c r="AJ122" i="2"/>
  <c r="AI123" i="2"/>
  <c r="AH124" i="2"/>
  <c r="AG125" i="2"/>
  <c r="AF126" i="2"/>
  <c r="AB127" i="2"/>
  <c r="AL127" i="2"/>
  <c r="AJ128" i="2"/>
  <c r="AI129" i="2"/>
  <c r="AH130" i="2"/>
  <c r="AG131" i="2"/>
  <c r="AF132" i="2"/>
  <c r="AB133" i="2"/>
  <c r="AL133" i="2"/>
  <c r="AI155" i="2"/>
  <c r="AC155" i="2"/>
  <c r="AJ154" i="2"/>
  <c r="AD154" i="2"/>
  <c r="AK153" i="2"/>
  <c r="AE153" i="2"/>
  <c r="AL152" i="2"/>
  <c r="AF152" i="2"/>
  <c r="AG151" i="2"/>
  <c r="AA151" i="2"/>
  <c r="AH150" i="2"/>
  <c r="AB150" i="2"/>
  <c r="AI149" i="2"/>
  <c r="AC149" i="2"/>
  <c r="AJ148" i="2"/>
  <c r="AD148" i="2"/>
  <c r="AK147" i="2"/>
  <c r="AE147" i="2"/>
  <c r="AL146" i="2"/>
  <c r="AF146" i="2"/>
  <c r="AG145" i="2"/>
  <c r="AA145" i="2"/>
  <c r="AH144" i="2"/>
  <c r="AA144" i="2"/>
  <c r="AJ143" i="2"/>
  <c r="AB143" i="2"/>
  <c r="AK142" i="2"/>
  <c r="AC142" i="2"/>
  <c r="AL141" i="2"/>
  <c r="AD141" i="2"/>
  <c r="AE140" i="2"/>
  <c r="AG139" i="2"/>
  <c r="AI138" i="2"/>
  <c r="AA138" i="2"/>
  <c r="AJ137" i="2"/>
  <c r="AB137" i="2"/>
  <c r="AK136" i="2"/>
  <c r="AC136" i="2"/>
  <c r="AL135" i="2"/>
  <c r="AD135" i="2"/>
  <c r="AE134" i="2"/>
  <c r="AF133" i="2"/>
  <c r="AC132" i="2"/>
  <c r="AB131" i="2"/>
  <c r="AK130" i="2"/>
  <c r="AB130" i="2"/>
  <c r="AJ129" i="2"/>
  <c r="AF128" i="2"/>
  <c r="AF127" i="2"/>
  <c r="AC126" i="2"/>
  <c r="AB125" i="2"/>
  <c r="AK124" i="2"/>
  <c r="AB124" i="2"/>
  <c r="AJ123" i="2"/>
  <c r="AF122" i="2"/>
  <c r="AF121" i="2"/>
  <c r="AC120" i="2"/>
  <c r="AB119" i="2"/>
  <c r="AK118" i="2"/>
  <c r="AB118" i="2"/>
  <c r="AJ117" i="2"/>
  <c r="AF116" i="2"/>
  <c r="AF115" i="2"/>
  <c r="AC114" i="2"/>
  <c r="AB113" i="2"/>
  <c r="AK112" i="2"/>
  <c r="AB112" i="2"/>
  <c r="AJ111" i="2"/>
  <c r="AF110" i="2"/>
  <c r="AE109" i="2"/>
  <c r="AI108" i="2"/>
  <c r="AB107" i="2"/>
  <c r="AI106" i="2"/>
  <c r="AK105" i="2"/>
  <c r="AL104" i="2"/>
  <c r="AA102" i="2"/>
  <c r="AA101" i="2"/>
  <c r="AA98" i="2"/>
  <c r="AA97" i="2"/>
  <c r="AL79" i="2"/>
  <c r="AG40" i="2"/>
  <c r="AK135" i="2"/>
  <c r="AC135" i="2"/>
  <c r="AL134" i="2"/>
  <c r="AD134" i="2"/>
  <c r="AE133" i="2"/>
  <c r="AB132" i="2"/>
  <c r="AJ131" i="2"/>
  <c r="AA131" i="2"/>
  <c r="AJ130" i="2"/>
  <c r="AF129" i="2"/>
  <c r="AE128" i="2"/>
  <c r="AE127" i="2"/>
  <c r="AB126" i="2"/>
  <c r="AJ125" i="2"/>
  <c r="AA125" i="2"/>
  <c r="AJ124" i="2"/>
  <c r="AF123" i="2"/>
  <c r="AE122" i="2"/>
  <c r="AE121" i="2"/>
  <c r="AB120" i="2"/>
  <c r="AJ119" i="2"/>
  <c r="AA119" i="2"/>
  <c r="AJ118" i="2"/>
  <c r="AF117" i="2"/>
  <c r="AE116" i="2"/>
  <c r="AE115" i="2"/>
  <c r="AB114" i="2"/>
  <c r="AJ113" i="2"/>
  <c r="AA113" i="2"/>
  <c r="AJ112" i="2"/>
  <c r="AF111" i="2"/>
  <c r="AE110" i="2"/>
  <c r="AH108" i="2"/>
  <c r="AA107" i="2"/>
  <c r="AD106" i="2"/>
  <c r="AJ105" i="2"/>
  <c r="AK104" i="2"/>
  <c r="AI99" i="2"/>
  <c r="AI96" i="2"/>
  <c r="AA90" i="2"/>
  <c r="AI89" i="2"/>
  <c r="AA81" i="2"/>
  <c r="Z143" i="2"/>
  <c r="AE129" i="2"/>
  <c r="AD128" i="2"/>
  <c r="AA127" i="2"/>
  <c r="AL126" i="2"/>
  <c r="AA126" i="2"/>
  <c r="AI125" i="2"/>
  <c r="AI124" i="2"/>
  <c r="AE123" i="2"/>
  <c r="AD122" i="2"/>
  <c r="AA121" i="2"/>
  <c r="AL120" i="2"/>
  <c r="AA120" i="2"/>
  <c r="AI119" i="2"/>
  <c r="AI118" i="2"/>
  <c r="AE117" i="2"/>
  <c r="AD116" i="2"/>
  <c r="AA115" i="2"/>
  <c r="AL114" i="2"/>
  <c r="AA114" i="2"/>
  <c r="AI113" i="2"/>
  <c r="AI112" i="2"/>
  <c r="AE111" i="2"/>
  <c r="AD110" i="2"/>
  <c r="AG108" i="2"/>
  <c r="AJ107" i="2"/>
  <c r="AB106" i="2"/>
  <c r="AE105" i="2"/>
  <c r="AD104" i="2"/>
  <c r="AK100" i="2"/>
  <c r="AF99" i="2"/>
  <c r="AG95" i="2"/>
  <c r="AJ134" i="2"/>
  <c r="AK133" i="2"/>
  <c r="AI132" i="2"/>
  <c r="AH131" i="2"/>
  <c r="AE130" i="2"/>
  <c r="AD129" i="2"/>
  <c r="AL128" i="2"/>
  <c r="AA128" i="2"/>
  <c r="AK127" i="2"/>
  <c r="AI126" i="2"/>
  <c r="AH125" i="2"/>
  <c r="AE124" i="2"/>
  <c r="AD123" i="2"/>
  <c r="AL122" i="2"/>
  <c r="AA122" i="2"/>
  <c r="AK121" i="2"/>
  <c r="AI120" i="2"/>
  <c r="AH119" i="2"/>
  <c r="AE118" i="2"/>
  <c r="AD117" i="2"/>
  <c r="AL116" i="2"/>
  <c r="AA116" i="2"/>
  <c r="AK115" i="2"/>
  <c r="AI114" i="2"/>
  <c r="AH113" i="2"/>
  <c r="AE112" i="2"/>
  <c r="AD111" i="2"/>
  <c r="AL110" i="2"/>
  <c r="AA110" i="2"/>
  <c r="AH109" i="2"/>
  <c r="U109" i="2"/>
  <c r="AB108" i="2"/>
  <c r="AI107" i="2"/>
  <c r="AC105" i="2"/>
  <c r="AA104" i="2"/>
  <c r="AF103" i="2"/>
  <c r="AJ101" i="2"/>
  <c r="AJ100" i="2"/>
  <c r="AL91" i="2"/>
  <c r="AF85" i="2"/>
  <c r="AA74" i="2"/>
  <c r="AC58" i="2"/>
  <c r="U77" i="2"/>
  <c r="H89" i="2"/>
  <c r="H79" i="2"/>
  <c r="U86" i="2"/>
  <c r="V86" i="2"/>
  <c r="T86" i="2" s="1"/>
  <c r="H83" i="2"/>
  <c r="H62" i="2"/>
  <c r="Z78" i="2"/>
  <c r="H68" i="2"/>
  <c r="H61" i="2"/>
  <c r="V78" i="2"/>
  <c r="T78" i="2" s="1"/>
  <c r="Z51" i="2"/>
  <c r="Z52" i="2"/>
  <c r="H50" i="2"/>
  <c r="H44" i="2"/>
  <c r="AJ38" i="2"/>
  <c r="AD38" i="2"/>
  <c r="AK37" i="2"/>
  <c r="AE37" i="2"/>
  <c r="AJ40" i="2"/>
  <c r="AD40" i="2"/>
  <c r="AK39" i="2"/>
  <c r="AE39" i="2"/>
  <c r="AL38" i="2"/>
  <c r="AF38" i="2"/>
  <c r="AG37" i="2"/>
  <c r="AL6" i="2"/>
  <c r="AC6" i="2"/>
  <c r="AA7" i="2"/>
  <c r="AK7" i="2"/>
  <c r="AE6" i="2"/>
  <c r="AB7" i="2"/>
  <c r="AG6" i="2"/>
  <c r="AC7" i="2"/>
  <c r="AE12" i="2"/>
  <c r="AI32" i="2"/>
  <c r="AK6" i="2"/>
  <c r="AE7" i="2"/>
  <c r="AG8" i="2"/>
  <c r="AE9" i="2"/>
  <c r="AC8" i="2"/>
  <c r="AD8" i="2"/>
  <c r="AI7" i="2"/>
  <c r="AK8" i="2"/>
  <c r="AL24" i="2"/>
  <c r="AL18" i="2"/>
  <c r="AI9" i="2"/>
  <c r="AB10" i="2"/>
  <c r="AK10" i="2"/>
  <c r="AD11" i="2"/>
  <c r="AF12" i="2"/>
  <c r="AH13" i="2"/>
  <c r="AC15" i="2"/>
  <c r="AB19" i="2"/>
  <c r="AE21" i="2"/>
  <c r="AD23" i="2"/>
  <c r="AB25" i="2"/>
  <c r="AE27" i="2"/>
  <c r="AD29" i="2"/>
  <c r="AB31" i="2"/>
  <c r="AG7" i="2"/>
  <c r="AI8" i="2"/>
  <c r="AA9" i="2"/>
  <c r="AK9" i="2"/>
  <c r="AC10" i="2"/>
  <c r="AE11" i="2"/>
  <c r="AG12" i="2"/>
  <c r="AA13" i="2"/>
  <c r="AI13" i="2"/>
  <c r="AC14" i="2"/>
  <c r="AK14" i="2"/>
  <c r="AE15" i="2"/>
  <c r="AG16" i="2"/>
  <c r="AC17" i="2"/>
  <c r="AG18" i="2"/>
  <c r="AG19" i="2"/>
  <c r="AI20" i="2"/>
  <c r="AF21" i="2"/>
  <c r="AG22" i="2"/>
  <c r="AI23" i="2"/>
  <c r="AF24" i="2"/>
  <c r="AG25" i="2"/>
  <c r="AI26" i="2"/>
  <c r="AF27" i="2"/>
  <c r="AG28" i="2"/>
  <c r="AI29" i="2"/>
  <c r="AF30" i="2"/>
  <c r="AG31" i="2"/>
  <c r="AA14" i="2"/>
  <c r="AJ14" i="2"/>
  <c r="AL15" i="2"/>
  <c r="AE16" i="2"/>
  <c r="AK17" i="2"/>
  <c r="AF18" i="2"/>
  <c r="AD20" i="2"/>
  <c r="AB22" i="2"/>
  <c r="AE24" i="2"/>
  <c r="AD26" i="2"/>
  <c r="AB28" i="2"/>
  <c r="AE30" i="2"/>
  <c r="AD32" i="2"/>
  <c r="AA36" i="2"/>
  <c r="AH32" i="2"/>
  <c r="AB32" i="2"/>
  <c r="AL31" i="2"/>
  <c r="AF31" i="2"/>
  <c r="AJ30" i="2"/>
  <c r="AD30" i="2"/>
  <c r="AH29" i="2"/>
  <c r="AB29" i="2"/>
  <c r="AL28" i="2"/>
  <c r="AF28" i="2"/>
  <c r="AJ27" i="2"/>
  <c r="AD27" i="2"/>
  <c r="AH26" i="2"/>
  <c r="AB26" i="2"/>
  <c r="AL25" i="2"/>
  <c r="AF25" i="2"/>
  <c r="AJ24" i="2"/>
  <c r="AD24" i="2"/>
  <c r="AH23" i="2"/>
  <c r="AB23" i="2"/>
  <c r="AL22" i="2"/>
  <c r="AF22" i="2"/>
  <c r="AJ21" i="2"/>
  <c r="AD21" i="2"/>
  <c r="AH20" i="2"/>
  <c r="AB20" i="2"/>
  <c r="AL19" i="2"/>
  <c r="AF19" i="2"/>
  <c r="AJ18" i="2"/>
  <c r="AD18" i="2"/>
  <c r="AH17" i="2"/>
  <c r="AB17" i="2"/>
  <c r="AL16" i="2"/>
  <c r="AF16" i="2"/>
  <c r="AJ15" i="2"/>
  <c r="AD15" i="2"/>
  <c r="AH14" i="2"/>
  <c r="AB14" i="2"/>
  <c r="AL13" i="2"/>
  <c r="AF13" i="2"/>
  <c r="AJ12" i="2"/>
  <c r="AD12" i="2"/>
  <c r="AH11" i="2"/>
  <c r="AB11" i="2"/>
  <c r="AL10" i="2"/>
  <c r="AF10" i="2"/>
  <c r="AJ9" i="2"/>
  <c r="AD9" i="2"/>
  <c r="AH8" i="2"/>
  <c r="AB8" i="2"/>
  <c r="AL7" i="2"/>
  <c r="AF7" i="2"/>
  <c r="AJ6" i="2"/>
  <c r="AD6" i="2"/>
  <c r="AC24" i="2"/>
  <c r="AG23" i="2"/>
  <c r="AA23" i="2"/>
  <c r="AK22" i="2"/>
  <c r="AE22" i="2"/>
  <c r="AI21" i="2"/>
  <c r="AC21" i="2"/>
  <c r="AA17" i="2"/>
  <c r="AG32" i="2"/>
  <c r="AA32" i="2"/>
  <c r="AK31" i="2"/>
  <c r="AE31" i="2"/>
  <c r="AI30" i="2"/>
  <c r="AC30" i="2"/>
  <c r="AG29" i="2"/>
  <c r="AA29" i="2"/>
  <c r="AK28" i="2"/>
  <c r="AE28" i="2"/>
  <c r="AI27" i="2"/>
  <c r="AC27" i="2"/>
  <c r="AG26" i="2"/>
  <c r="AA26" i="2"/>
  <c r="AK25" i="2"/>
  <c r="AE25" i="2"/>
  <c r="AI24" i="2"/>
  <c r="AG20" i="2"/>
  <c r="AA20" i="2"/>
  <c r="AK19" i="2"/>
  <c r="AE19" i="2"/>
  <c r="AI18" i="2"/>
  <c r="AC18" i="2"/>
  <c r="AG17" i="2"/>
  <c r="AK16" i="2"/>
  <c r="AL32" i="2"/>
  <c r="AF32" i="2"/>
  <c r="AJ31" i="2"/>
  <c r="AD31" i="2"/>
  <c r="AH30" i="2"/>
  <c r="AB30" i="2"/>
  <c r="AL29" i="2"/>
  <c r="AF29" i="2"/>
  <c r="AJ28" i="2"/>
  <c r="AD28" i="2"/>
  <c r="AH27" i="2"/>
  <c r="AB27" i="2"/>
  <c r="AL26" i="2"/>
  <c r="AF26" i="2"/>
  <c r="AJ25" i="2"/>
  <c r="AD25" i="2"/>
  <c r="AH24" i="2"/>
  <c r="AB24" i="2"/>
  <c r="AL23" i="2"/>
  <c r="AF23" i="2"/>
  <c r="AJ22" i="2"/>
  <c r="AD22" i="2"/>
  <c r="AH21" i="2"/>
  <c r="AB21" i="2"/>
  <c r="AL20" i="2"/>
  <c r="AF20" i="2"/>
  <c r="AJ19" i="2"/>
  <c r="AD19" i="2"/>
  <c r="AH18" i="2"/>
  <c r="AB18" i="2"/>
  <c r="AL17" i="2"/>
  <c r="AF17" i="2"/>
  <c r="AJ16" i="2"/>
  <c r="AD16" i="2"/>
  <c r="AH15" i="2"/>
  <c r="AB15" i="2"/>
  <c r="AL14" i="2"/>
  <c r="AF14" i="2"/>
  <c r="AJ13" i="2"/>
  <c r="AD13" i="2"/>
  <c r="AH12" i="2"/>
  <c r="AB12" i="2"/>
  <c r="AL11" i="2"/>
  <c r="AF11" i="2"/>
  <c r="AJ10" i="2"/>
  <c r="AD10" i="2"/>
  <c r="AH9" i="2"/>
  <c r="AB9" i="2"/>
  <c r="AL8" i="2"/>
  <c r="AF8" i="2"/>
  <c r="AJ7" i="2"/>
  <c r="AD7" i="2"/>
  <c r="AH6" i="2"/>
  <c r="AB6" i="2"/>
  <c r="AG21" i="2"/>
  <c r="AA21" i="2"/>
  <c r="AK20" i="2"/>
  <c r="AE20" i="2"/>
  <c r="AI19" i="2"/>
  <c r="AA33" i="2"/>
  <c r="AK32" i="2"/>
  <c r="AE32" i="2"/>
  <c r="AI31" i="2"/>
  <c r="AC31" i="2"/>
  <c r="AG30" i="2"/>
  <c r="AA30" i="2"/>
  <c r="AK29" i="2"/>
  <c r="AE29" i="2"/>
  <c r="AI28" i="2"/>
  <c r="AC28" i="2"/>
  <c r="AG27" i="2"/>
  <c r="AA27" i="2"/>
  <c r="AK26" i="2"/>
  <c r="AE26" i="2"/>
  <c r="AI25" i="2"/>
  <c r="AC25" i="2"/>
  <c r="AG24" i="2"/>
  <c r="AA24" i="2"/>
  <c r="AK23" i="2"/>
  <c r="AE23" i="2"/>
  <c r="AI22" i="2"/>
  <c r="AC22" i="2"/>
  <c r="AC19" i="2"/>
  <c r="AF6" i="2"/>
  <c r="AH7" i="2"/>
  <c r="AA8" i="2"/>
  <c r="AJ8" i="2"/>
  <c r="AC9" i="2"/>
  <c r="AL9" i="2"/>
  <c r="AE10" i="2"/>
  <c r="AG11" i="2"/>
  <c r="AI12" i="2"/>
  <c r="AB13" i="2"/>
  <c r="AK13" i="2"/>
  <c r="AD14" i="2"/>
  <c r="AF15" i="2"/>
  <c r="AH16" i="2"/>
  <c r="AD17" i="2"/>
  <c r="AK18" i="2"/>
  <c r="AH19" i="2"/>
  <c r="AJ20" i="2"/>
  <c r="AK21" i="2"/>
  <c r="AH22" i="2"/>
  <c r="AJ23" i="2"/>
  <c r="AK24" i="2"/>
  <c r="AH25" i="2"/>
  <c r="AJ26" i="2"/>
  <c r="AK27" i="2"/>
  <c r="AH28" i="2"/>
  <c r="AJ29" i="2"/>
  <c r="AK30" i="2"/>
  <c r="AH31" i="2"/>
  <c r="AJ32" i="2"/>
  <c r="AA34" i="2"/>
  <c r="AG10" i="2"/>
  <c r="AI11" i="2"/>
  <c r="AA12" i="2"/>
  <c r="AK12" i="2"/>
  <c r="AC13" i="2"/>
  <c r="AE14" i="2"/>
  <c r="AL21" i="2"/>
  <c r="AL27" i="2"/>
  <c r="AL30" i="2"/>
  <c r="AG15" i="2"/>
  <c r="AA16" i="2"/>
  <c r="AI16" i="2"/>
  <c r="AE17" i="2"/>
  <c r="AF9" i="2"/>
  <c r="Z10" i="2"/>
  <c r="AH10" i="2"/>
  <c r="AA11" i="2"/>
  <c r="AJ11" i="2"/>
  <c r="AC12" i="2"/>
  <c r="AL12" i="2"/>
  <c r="AE13" i="2"/>
  <c r="AG14" i="2"/>
  <c r="AI15" i="2"/>
  <c r="AB16" i="2"/>
  <c r="AI17" i="2"/>
  <c r="AA18" i="2"/>
  <c r="AA35" i="2"/>
  <c r="AE8" i="2"/>
  <c r="AG9" i="2"/>
  <c r="AA10" i="2"/>
  <c r="AI10" i="2"/>
  <c r="AC11" i="2"/>
  <c r="AK11" i="2"/>
  <c r="AG13" i="2"/>
  <c r="AI14" i="2"/>
  <c r="AA15" i="2"/>
  <c r="AK15" i="2"/>
  <c r="AC16" i="2"/>
  <c r="AJ17" i="2"/>
  <c r="AE18" i="2"/>
  <c r="AA19" i="2"/>
  <c r="AC20" i="2"/>
  <c r="AA22" i="2"/>
  <c r="AC23" i="2"/>
  <c r="AA25" i="2"/>
  <c r="AC26" i="2"/>
  <c r="AA28" i="2"/>
  <c r="AC29" i="2"/>
  <c r="AA31" i="2"/>
  <c r="AC32" i="2"/>
  <c r="F28" i="1"/>
  <c r="F29" i="1" s="1"/>
  <c r="E28" i="1"/>
  <c r="E29" i="1" s="1"/>
  <c r="D28" i="1"/>
  <c r="D29" i="1" s="1"/>
  <c r="C28" i="1"/>
  <c r="C29" i="1" s="1"/>
  <c r="F27" i="1"/>
  <c r="E27" i="1"/>
  <c r="D27" i="1"/>
  <c r="C27" i="1"/>
  <c r="O19" i="1"/>
  <c r="O20" i="1" s="1"/>
  <c r="N19" i="1"/>
  <c r="N20" i="1" s="1"/>
  <c r="M19" i="1"/>
  <c r="M20" i="1" s="1"/>
  <c r="L19" i="1"/>
  <c r="L20" i="1" s="1"/>
  <c r="K19" i="1"/>
  <c r="K20" i="1" s="1"/>
  <c r="O18" i="1"/>
  <c r="N18" i="1"/>
  <c r="M18" i="1"/>
  <c r="L18" i="1"/>
  <c r="K18" i="1"/>
  <c r="G19" i="1"/>
  <c r="G20" i="1" s="1"/>
  <c r="F19" i="1"/>
  <c r="F20" i="1" s="1"/>
  <c r="E19" i="1"/>
  <c r="E20" i="1" s="1"/>
  <c r="D19" i="1"/>
  <c r="D20" i="1" s="1"/>
  <c r="G18" i="1"/>
  <c r="F18" i="1"/>
  <c r="E18" i="1"/>
  <c r="D18" i="1"/>
  <c r="C19" i="1"/>
  <c r="C20" i="1" s="1"/>
  <c r="C18" i="1"/>
  <c r="T2" i="1"/>
  <c r="N1" i="1"/>
  <c r="V77" i="2" l="1"/>
  <c r="T77" i="2" s="1"/>
  <c r="Z66" i="2"/>
  <c r="Z77" i="2"/>
  <c r="Z167" i="2"/>
  <c r="Z67" i="2"/>
  <c r="Z157" i="2"/>
  <c r="Z119" i="2"/>
  <c r="U119" i="2"/>
  <c r="Z94" i="2"/>
  <c r="U103" i="2"/>
  <c r="Z59" i="2"/>
  <c r="V94" i="2"/>
  <c r="T94" i="2" s="1"/>
  <c r="V164" i="2"/>
  <c r="T164" i="2" s="1"/>
  <c r="Z128" i="2"/>
  <c r="Z53" i="2"/>
  <c r="Z165" i="2"/>
  <c r="Z155" i="2"/>
  <c r="Z45" i="2"/>
  <c r="Z81" i="2"/>
  <c r="Z46" i="2"/>
  <c r="U139" i="2"/>
  <c r="U128" i="2"/>
  <c r="V167" i="2"/>
  <c r="T167" i="2" s="1"/>
  <c r="I167" i="2" s="1"/>
  <c r="V119" i="2"/>
  <c r="T119" i="2" s="1"/>
  <c r="I119" i="2" s="1"/>
  <c r="U167" i="2"/>
  <c r="Z84" i="2"/>
  <c r="V128" i="2"/>
  <c r="T128" i="2" s="1"/>
  <c r="I128" i="2" s="1"/>
  <c r="V165" i="2"/>
  <c r="T165" i="2" s="1"/>
  <c r="U175" i="2"/>
  <c r="U94" i="2"/>
  <c r="U116" i="2"/>
  <c r="T109" i="2"/>
  <c r="U112" i="2"/>
  <c r="V130" i="2"/>
  <c r="T130" i="2" s="1"/>
  <c r="Z39" i="2"/>
  <c r="V80" i="2"/>
  <c r="T80" i="2" s="1"/>
  <c r="V20" i="2"/>
  <c r="T20" i="2" s="1"/>
  <c r="U20" i="2"/>
  <c r="T48" i="2"/>
  <c r="U48" i="2"/>
  <c r="V48" i="2"/>
  <c r="V75" i="2"/>
  <c r="T75" i="2"/>
  <c r="U75" i="2"/>
  <c r="U118" i="2"/>
  <c r="U87" i="2"/>
  <c r="Z145" i="2"/>
  <c r="V127" i="2"/>
  <c r="T127" i="2" s="1"/>
  <c r="I127" i="2" s="1"/>
  <c r="U163" i="2"/>
  <c r="T32" i="2"/>
  <c r="V32" i="2"/>
  <c r="U32" i="2"/>
  <c r="T41" i="2"/>
  <c r="V41" i="2"/>
  <c r="U41" i="2"/>
  <c r="T43" i="2"/>
  <c r="V43" i="2"/>
  <c r="U43" i="2"/>
  <c r="V61" i="2"/>
  <c r="T61" i="2"/>
  <c r="I61" i="2" s="1"/>
  <c r="U61" i="2"/>
  <c r="T50" i="2"/>
  <c r="I50" i="2" s="1"/>
  <c r="U50" i="2"/>
  <c r="V50" i="2"/>
  <c r="T68" i="2"/>
  <c r="I68" i="2" s="1"/>
  <c r="U68" i="2"/>
  <c r="V68" i="2"/>
  <c r="T24" i="2"/>
  <c r="V24" i="2"/>
  <c r="U24" i="2"/>
  <c r="T39" i="2"/>
  <c r="V39" i="2"/>
  <c r="U39" i="2"/>
  <c r="V57" i="2"/>
  <c r="T57" i="2"/>
  <c r="U57" i="2"/>
  <c r="T28" i="2"/>
  <c r="V28" i="2"/>
  <c r="U28" i="2"/>
  <c r="T47" i="2"/>
  <c r="V47" i="2"/>
  <c r="U47" i="2"/>
  <c r="T17" i="2"/>
  <c r="V17" i="2"/>
  <c r="U17" i="2"/>
  <c r="T64" i="2"/>
  <c r="U64" i="2"/>
  <c r="V64" i="2"/>
  <c r="V118" i="2"/>
  <c r="T118" i="2" s="1"/>
  <c r="I118" i="2" s="1"/>
  <c r="U145" i="2"/>
  <c r="Z127" i="2"/>
  <c r="T54" i="2"/>
  <c r="U54" i="2"/>
  <c r="V54" i="2"/>
  <c r="T72" i="2"/>
  <c r="U72" i="2"/>
  <c r="V72" i="2"/>
  <c r="V65" i="2"/>
  <c r="T65" i="2"/>
  <c r="U65" i="2"/>
  <c r="T29" i="2"/>
  <c r="U29" i="2"/>
  <c r="V29" i="2"/>
  <c r="U21" i="2"/>
  <c r="V21" i="2"/>
  <c r="T21" i="2" s="1"/>
  <c r="T52" i="2"/>
  <c r="U52" i="2"/>
  <c r="V52" i="2"/>
  <c r="T70" i="2"/>
  <c r="U70" i="2"/>
  <c r="V70" i="2"/>
  <c r="U154" i="2"/>
  <c r="U100" i="2"/>
  <c r="Z92" i="2"/>
  <c r="U127" i="2"/>
  <c r="T26" i="2"/>
  <c r="V26" i="2"/>
  <c r="U26" i="2"/>
  <c r="T49" i="2"/>
  <c r="V49" i="2"/>
  <c r="U49" i="2"/>
  <c r="V67" i="2"/>
  <c r="T67" i="2"/>
  <c r="U67" i="2"/>
  <c r="T31" i="2"/>
  <c r="U31" i="2"/>
  <c r="V31" i="2"/>
  <c r="T38" i="2"/>
  <c r="U38" i="2"/>
  <c r="V38" i="2"/>
  <c r="T56" i="2"/>
  <c r="U56" i="2"/>
  <c r="V56" i="2"/>
  <c r="T74" i="2"/>
  <c r="U74" i="2"/>
  <c r="V74" i="2"/>
  <c r="T36" i="2"/>
  <c r="V36" i="2"/>
  <c r="U36" i="2"/>
  <c r="T18" i="2"/>
  <c r="U18" i="2"/>
  <c r="V18" i="2"/>
  <c r="H65" i="2"/>
  <c r="T45" i="2"/>
  <c r="V45" i="2"/>
  <c r="U45" i="2"/>
  <c r="V63" i="2"/>
  <c r="T63" i="2"/>
  <c r="U63" i="2"/>
  <c r="T11" i="2"/>
  <c r="U11" i="2"/>
  <c r="V11" i="2"/>
  <c r="T22" i="2"/>
  <c r="V22" i="2"/>
  <c r="U22" i="2"/>
  <c r="V71" i="2"/>
  <c r="T71" i="2"/>
  <c r="U71" i="2"/>
  <c r="V53" i="2"/>
  <c r="T53" i="2"/>
  <c r="U53" i="2"/>
  <c r="T35" i="2"/>
  <c r="U35" i="2"/>
  <c r="V35" i="2"/>
  <c r="I77" i="2"/>
  <c r="T42" i="2"/>
  <c r="U42" i="2"/>
  <c r="V42" i="2"/>
  <c r="T60" i="2"/>
  <c r="U60" i="2"/>
  <c r="V60" i="2"/>
  <c r="T33" i="2"/>
  <c r="U33" i="2"/>
  <c r="V33" i="2"/>
  <c r="T23" i="2"/>
  <c r="U23" i="2"/>
  <c r="V23" i="2"/>
  <c r="T40" i="2"/>
  <c r="U40" i="2"/>
  <c r="V40" i="2"/>
  <c r="H40" i="2"/>
  <c r="T58" i="2"/>
  <c r="U58" i="2"/>
  <c r="V58" i="2"/>
  <c r="T66" i="2"/>
  <c r="U66" i="2"/>
  <c r="V66" i="2"/>
  <c r="T46" i="2"/>
  <c r="U46" i="2"/>
  <c r="V46" i="2"/>
  <c r="I86" i="2"/>
  <c r="U166" i="2"/>
  <c r="Z154" i="2"/>
  <c r="T27" i="2"/>
  <c r="U27" i="2"/>
  <c r="V27" i="2"/>
  <c r="V55" i="2"/>
  <c r="T55" i="2"/>
  <c r="U55" i="2"/>
  <c r="V73" i="2"/>
  <c r="T73" i="2"/>
  <c r="U73" i="2"/>
  <c r="T25" i="2"/>
  <c r="U25" i="2"/>
  <c r="V25" i="2"/>
  <c r="T44" i="2"/>
  <c r="I44" i="2" s="1"/>
  <c r="U44" i="2"/>
  <c r="V44" i="2"/>
  <c r="T62" i="2"/>
  <c r="I62" i="2" s="1"/>
  <c r="U62" i="2"/>
  <c r="V62" i="2"/>
  <c r="T30" i="2"/>
  <c r="V30" i="2"/>
  <c r="U30" i="2"/>
  <c r="T51" i="2"/>
  <c r="V51" i="2"/>
  <c r="U51" i="2"/>
  <c r="V69" i="2"/>
  <c r="T69" i="2"/>
  <c r="U69" i="2"/>
  <c r="V59" i="2"/>
  <c r="T59" i="2"/>
  <c r="U59" i="2"/>
  <c r="U160" i="2"/>
  <c r="T34" i="2"/>
  <c r="V34" i="2"/>
  <c r="U34" i="2"/>
  <c r="T10" i="2"/>
  <c r="V10" i="2"/>
  <c r="U10" i="2"/>
  <c r="U6" i="2"/>
  <c r="V6" i="2"/>
  <c r="T6" i="2" s="1"/>
  <c r="I6" i="2" s="1"/>
  <c r="T37" i="2"/>
  <c r="U37" i="2"/>
  <c r="V37" i="2"/>
  <c r="U8" i="2"/>
  <c r="H8" i="2"/>
  <c r="Z14" i="2"/>
  <c r="Z40" i="2"/>
  <c r="Z27" i="2"/>
  <c r="Z21" i="2"/>
  <c r="Z80" i="2"/>
  <c r="V115" i="2"/>
  <c r="T115" i="2" s="1"/>
  <c r="Z189" i="2"/>
  <c r="V173" i="2"/>
  <c r="T173" i="2" s="1"/>
  <c r="I173" i="2" s="1"/>
  <c r="V103" i="2"/>
  <c r="T103" i="2" s="1"/>
  <c r="I103" i="2" s="1"/>
  <c r="V93" i="2"/>
  <c r="T93" i="2" s="1"/>
  <c r="Z42" i="2"/>
  <c r="U98" i="2"/>
  <c r="Z98" i="2"/>
  <c r="Z121" i="2"/>
  <c r="V121" i="2"/>
  <c r="T121" i="2" s="1"/>
  <c r="I121" i="2" s="1"/>
  <c r="U121" i="2"/>
  <c r="Z115" i="2"/>
  <c r="U115" i="2"/>
  <c r="U133" i="2"/>
  <c r="Z133" i="2"/>
  <c r="V133" i="2"/>
  <c r="T133" i="2" s="1"/>
  <c r="I133" i="2" s="1"/>
  <c r="J133" i="2" s="1"/>
  <c r="H71" i="2"/>
  <c r="Z71" i="2"/>
  <c r="H93" i="2"/>
  <c r="Z93" i="2"/>
  <c r="U93" i="2"/>
  <c r="H54" i="2"/>
  <c r="Z54" i="2"/>
  <c r="H48" i="2"/>
  <c r="H42" i="2"/>
  <c r="H57" i="2"/>
  <c r="Z57" i="2"/>
  <c r="H27" i="2"/>
  <c r="H21" i="2"/>
  <c r="U104" i="2"/>
  <c r="V104" i="2"/>
  <c r="T104" i="2" s="1"/>
  <c r="I104" i="2" s="1"/>
  <c r="Z104" i="2"/>
  <c r="Z97" i="2"/>
  <c r="U91" i="2"/>
  <c r="V91" i="2"/>
  <c r="T91" i="2" s="1"/>
  <c r="H91" i="2"/>
  <c r="Z91" i="2"/>
  <c r="Z69" i="2"/>
  <c r="H72" i="2"/>
  <c r="I72" i="2" s="1"/>
  <c r="Z72" i="2"/>
  <c r="Z139" i="2"/>
  <c r="Z175" i="2"/>
  <c r="U176" i="2"/>
  <c r="Z176" i="2"/>
  <c r="V176" i="2"/>
  <c r="T176" i="2" s="1"/>
  <c r="I176" i="2" s="1"/>
  <c r="Z177" i="2"/>
  <c r="U177" i="2"/>
  <c r="V177" i="2"/>
  <c r="T177" i="2" s="1"/>
  <c r="I177" i="2" s="1"/>
  <c r="V106" i="2"/>
  <c r="T106" i="2" s="1"/>
  <c r="I106" i="2" s="1"/>
  <c r="Z100" i="2"/>
  <c r="H69" i="2"/>
  <c r="Z70" i="2"/>
  <c r="H70" i="2"/>
  <c r="H75" i="2"/>
  <c r="Z75" i="2"/>
  <c r="H64" i="2"/>
  <c r="Z64" i="2"/>
  <c r="H58" i="2"/>
  <c r="H56" i="2"/>
  <c r="Z56" i="2"/>
  <c r="Z183" i="2"/>
  <c r="U183" i="2"/>
  <c r="V183" i="2"/>
  <c r="T183" i="2" s="1"/>
  <c r="I183" i="2" s="1"/>
  <c r="H41" i="2"/>
  <c r="Z41" i="2"/>
  <c r="U106" i="2"/>
  <c r="Z106" i="2"/>
  <c r="H49" i="2"/>
  <c r="Z49" i="2"/>
  <c r="U188" i="2"/>
  <c r="Z188" i="2"/>
  <c r="V188" i="2"/>
  <c r="T188" i="2" s="1"/>
  <c r="I188" i="2" s="1"/>
  <c r="U168" i="2"/>
  <c r="V168" i="2"/>
  <c r="T168" i="2" s="1"/>
  <c r="I168" i="2" s="1"/>
  <c r="Z168" i="2"/>
  <c r="U141" i="2"/>
  <c r="Z141" i="2"/>
  <c r="V141" i="2"/>
  <c r="T141" i="2" s="1"/>
  <c r="I141" i="2" s="1"/>
  <c r="H30" i="2"/>
  <c r="V146" i="2"/>
  <c r="T146" i="2" s="1"/>
  <c r="I146" i="2" s="1"/>
  <c r="U146" i="2"/>
  <c r="Z146" i="2"/>
  <c r="V152" i="2"/>
  <c r="T152" i="2" s="1"/>
  <c r="I152" i="2" s="1"/>
  <c r="Z152" i="2"/>
  <c r="V98" i="2"/>
  <c r="T98" i="2" s="1"/>
  <c r="I98" i="2" s="1"/>
  <c r="J98" i="2" s="1"/>
  <c r="H96" i="2"/>
  <c r="U96" i="2"/>
  <c r="Z96" i="2"/>
  <c r="V96" i="2"/>
  <c r="T96" i="2" s="1"/>
  <c r="H55" i="2"/>
  <c r="Z55" i="2"/>
  <c r="H43" i="2"/>
  <c r="I43" i="2" s="1"/>
  <c r="Z43" i="2"/>
  <c r="Z174" i="2"/>
  <c r="U174" i="2"/>
  <c r="V174" i="2"/>
  <c r="T174" i="2" s="1"/>
  <c r="I174" i="2" s="1"/>
  <c r="U180" i="2"/>
  <c r="V180" i="2"/>
  <c r="T180" i="2" s="1"/>
  <c r="I180" i="2" s="1"/>
  <c r="Z180" i="2"/>
  <c r="U182" i="2"/>
  <c r="Z182" i="2"/>
  <c r="U110" i="2"/>
  <c r="V110" i="2"/>
  <c r="T110" i="2" s="1"/>
  <c r="I110" i="2" s="1"/>
  <c r="Z110" i="2"/>
  <c r="U131" i="2"/>
  <c r="Z131" i="2"/>
  <c r="U125" i="2"/>
  <c r="Z125" i="2"/>
  <c r="V125" i="2"/>
  <c r="T125" i="2" s="1"/>
  <c r="I125" i="2" s="1"/>
  <c r="U113" i="2"/>
  <c r="V113" i="2"/>
  <c r="T113" i="2" s="1"/>
  <c r="I113" i="2" s="1"/>
  <c r="U107" i="2"/>
  <c r="Z107" i="2"/>
  <c r="V107" i="2"/>
  <c r="T107" i="2" s="1"/>
  <c r="I107" i="2" s="1"/>
  <c r="U90" i="2"/>
  <c r="H90" i="2"/>
  <c r="V90" i="2"/>
  <c r="T90" i="2" s="1"/>
  <c r="Z90" i="2"/>
  <c r="Z47" i="2"/>
  <c r="H47" i="2"/>
  <c r="I47" i="2" s="1"/>
  <c r="H63" i="2"/>
  <c r="I63" i="2" s="1"/>
  <c r="Z63" i="2"/>
  <c r="V134" i="2"/>
  <c r="T134" i="2" s="1"/>
  <c r="I134" i="2" s="1"/>
  <c r="Z134" i="2"/>
  <c r="U134" i="2"/>
  <c r="Z184" i="2"/>
  <c r="V184" i="2"/>
  <c r="T184" i="2" s="1"/>
  <c r="I184" i="2" s="1"/>
  <c r="U184" i="2"/>
  <c r="V190" i="2"/>
  <c r="T190" i="2" s="1"/>
  <c r="U190" i="2"/>
  <c r="Z190" i="2"/>
  <c r="H92" i="2"/>
  <c r="U92" i="2"/>
  <c r="V92" i="2"/>
  <c r="T92" i="2" s="1"/>
  <c r="H33" i="2"/>
  <c r="H37" i="2"/>
  <c r="V148" i="2"/>
  <c r="T148" i="2" s="1"/>
  <c r="I148" i="2" s="1"/>
  <c r="Z148" i="2"/>
  <c r="U148" i="2"/>
  <c r="V182" i="2"/>
  <c r="T182" i="2" s="1"/>
  <c r="I182" i="2" s="1"/>
  <c r="V140" i="2"/>
  <c r="T140" i="2" s="1"/>
  <c r="I140" i="2" s="1"/>
  <c r="Z140" i="2"/>
  <c r="U140" i="2"/>
  <c r="V187" i="2"/>
  <c r="T187" i="2" s="1"/>
  <c r="I187" i="2" s="1"/>
  <c r="Z33" i="2"/>
  <c r="V112" i="2"/>
  <c r="T112" i="2" s="1"/>
  <c r="I112" i="2" s="1"/>
  <c r="Z8" i="2"/>
  <c r="Z181" i="2"/>
  <c r="Z58" i="2"/>
  <c r="Z124" i="2"/>
  <c r="Z87" i="2"/>
  <c r="U152" i="2"/>
  <c r="V161" i="2"/>
  <c r="T161" i="2" s="1"/>
  <c r="I161" i="2" s="1"/>
  <c r="Z103" i="2"/>
  <c r="Z116" i="2"/>
  <c r="Z161" i="2"/>
  <c r="Z164" i="2"/>
  <c r="V131" i="2"/>
  <c r="T131" i="2" s="1"/>
  <c r="V97" i="2"/>
  <c r="T97" i="2" s="1"/>
  <c r="V139" i="2"/>
  <c r="T139" i="2" s="1"/>
  <c r="I139" i="2" s="1"/>
  <c r="V100" i="2"/>
  <c r="T100" i="2" s="1"/>
  <c r="I100" i="2" s="1"/>
  <c r="H97" i="2"/>
  <c r="V84" i="2"/>
  <c r="T84" i="2" s="1"/>
  <c r="U97" i="2"/>
  <c r="H84" i="2"/>
  <c r="V145" i="2"/>
  <c r="T145" i="2" s="1"/>
  <c r="I145" i="2" s="1"/>
  <c r="U149" i="2"/>
  <c r="Z109" i="2"/>
  <c r="V149" i="2"/>
  <c r="T149" i="2" s="1"/>
  <c r="I149" i="2" s="1"/>
  <c r="H78" i="2"/>
  <c r="I78" i="2" s="1"/>
  <c r="U158" i="2"/>
  <c r="Z166" i="2"/>
  <c r="V166" i="2"/>
  <c r="T166" i="2" s="1"/>
  <c r="I166" i="2" s="1"/>
  <c r="V143" i="2"/>
  <c r="T143" i="2" s="1"/>
  <c r="Z149" i="2"/>
  <c r="V158" i="2"/>
  <c r="T158" i="2" s="1"/>
  <c r="V178" i="2"/>
  <c r="T178" i="2" s="1"/>
  <c r="Z17" i="2"/>
  <c r="Z37" i="2"/>
  <c r="V151" i="2"/>
  <c r="T151" i="2" s="1"/>
  <c r="Z130" i="2"/>
  <c r="U85" i="2"/>
  <c r="Z85" i="2"/>
  <c r="V85" i="2"/>
  <c r="T85" i="2" s="1"/>
  <c r="I85" i="2" s="1"/>
  <c r="J68" i="2"/>
  <c r="V189" i="2"/>
  <c r="T189" i="2" s="1"/>
  <c r="Z60" i="2"/>
  <c r="Z113" i="2"/>
  <c r="H51" i="2"/>
  <c r="V137" i="2"/>
  <c r="T137" i="2" s="1"/>
  <c r="V124" i="2"/>
  <c r="T124" i="2" s="1"/>
  <c r="I124" i="2" s="1"/>
  <c r="Z137" i="2"/>
  <c r="Z28" i="2"/>
  <c r="H28" i="2"/>
  <c r="Z31" i="2"/>
  <c r="Z32" i="2"/>
  <c r="Z171" i="2"/>
  <c r="Z25" i="2"/>
  <c r="Z26" i="2"/>
  <c r="H26" i="2"/>
  <c r="Z22" i="2"/>
  <c r="H22" i="2"/>
  <c r="Z24" i="2"/>
  <c r="Z20" i="2"/>
  <c r="H20" i="2"/>
  <c r="Z112" i="2"/>
  <c r="Z29" i="2"/>
  <c r="H29" i="2"/>
  <c r="Z23" i="2"/>
  <c r="H23" i="2"/>
  <c r="Z11" i="2"/>
  <c r="Z18" i="2"/>
  <c r="Z30" i="2"/>
  <c r="V175" i="2"/>
  <c r="T175" i="2" s="1"/>
  <c r="I175" i="2" s="1"/>
  <c r="Z185" i="2"/>
  <c r="Z73" i="2"/>
  <c r="Z48" i="2"/>
  <c r="Z50" i="2"/>
  <c r="Z68" i="2"/>
  <c r="Z62" i="2"/>
  <c r="Z79" i="2"/>
  <c r="U79" i="2"/>
  <c r="V79" i="2"/>
  <c r="T79" i="2" s="1"/>
  <c r="I79" i="2" s="1"/>
  <c r="V99" i="2"/>
  <c r="T99" i="2" s="1"/>
  <c r="I99" i="2" s="1"/>
  <c r="U99" i="2"/>
  <c r="Z99" i="2"/>
  <c r="V120" i="2"/>
  <c r="T120" i="2" s="1"/>
  <c r="I120" i="2" s="1"/>
  <c r="Z120" i="2"/>
  <c r="U120" i="2"/>
  <c r="V132" i="2"/>
  <c r="T132" i="2" s="1"/>
  <c r="Z132" i="2"/>
  <c r="U132" i="2"/>
  <c r="V150" i="2"/>
  <c r="T150" i="2" s="1"/>
  <c r="U150" i="2"/>
  <c r="Z150" i="2"/>
  <c r="V156" i="2"/>
  <c r="T156" i="2" s="1"/>
  <c r="I156" i="2" s="1"/>
  <c r="U156" i="2"/>
  <c r="Z156" i="2"/>
  <c r="V162" i="2"/>
  <c r="T162" i="2" s="1"/>
  <c r="I162" i="2" s="1"/>
  <c r="U162" i="2"/>
  <c r="Z162" i="2"/>
  <c r="U170" i="2"/>
  <c r="V170" i="2"/>
  <c r="T170" i="2" s="1"/>
  <c r="I170" i="2" s="1"/>
  <c r="Z170" i="2"/>
  <c r="Z153" i="2"/>
  <c r="U153" i="2"/>
  <c r="V153" i="2"/>
  <c r="T153" i="2" s="1"/>
  <c r="I153" i="2" s="1"/>
  <c r="V179" i="2"/>
  <c r="T179" i="2" s="1"/>
  <c r="Z83" i="2"/>
  <c r="U83" i="2"/>
  <c r="V83" i="2"/>
  <c r="T83" i="2" s="1"/>
  <c r="I83" i="2" s="1"/>
  <c r="V117" i="2"/>
  <c r="T117" i="2" s="1"/>
  <c r="I117" i="2" s="1"/>
  <c r="U117" i="2"/>
  <c r="Z117" i="2"/>
  <c r="Z44" i="2"/>
  <c r="Z61" i="2"/>
  <c r="Z74" i="2"/>
  <c r="Z88" i="2"/>
  <c r="U88" i="2"/>
  <c r="V88" i="2"/>
  <c r="T88" i="2" s="1"/>
  <c r="U95" i="2"/>
  <c r="V95" i="2"/>
  <c r="T95" i="2" s="1"/>
  <c r="Z95" i="2"/>
  <c r="V123" i="2"/>
  <c r="T123" i="2" s="1"/>
  <c r="U123" i="2"/>
  <c r="Z123" i="2"/>
  <c r="V105" i="2"/>
  <c r="T105" i="2" s="1"/>
  <c r="I105" i="2" s="1"/>
  <c r="U105" i="2"/>
  <c r="Z105" i="2"/>
  <c r="V147" i="2"/>
  <c r="T147" i="2" s="1"/>
  <c r="I147" i="2" s="1"/>
  <c r="U147" i="2"/>
  <c r="Z147" i="2"/>
  <c r="Z173" i="2"/>
  <c r="V169" i="2"/>
  <c r="T169" i="2" s="1"/>
  <c r="I169" i="2" s="1"/>
  <c r="Z169" i="2"/>
  <c r="U169" i="2"/>
  <c r="U172" i="2"/>
  <c r="Z172" i="2"/>
  <c r="V172" i="2"/>
  <c r="T172" i="2" s="1"/>
  <c r="V181" i="2"/>
  <c r="T181" i="2" s="1"/>
  <c r="I181" i="2" s="1"/>
  <c r="Z187" i="2"/>
  <c r="Z118" i="2"/>
  <c r="U142" i="2"/>
  <c r="Z142" i="2"/>
  <c r="V142" i="2"/>
  <c r="T142" i="2" s="1"/>
  <c r="I142" i="2" s="1"/>
  <c r="U136" i="2"/>
  <c r="Z136" i="2"/>
  <c r="V136" i="2"/>
  <c r="T136" i="2" s="1"/>
  <c r="Z159" i="2"/>
  <c r="U159" i="2"/>
  <c r="V159" i="2"/>
  <c r="T159" i="2" s="1"/>
  <c r="I159" i="2" s="1"/>
  <c r="J159" i="2" s="1"/>
  <c r="J160" i="2" s="1"/>
  <c r="V82" i="2"/>
  <c r="T82" i="2" s="1"/>
  <c r="I82" i="2" s="1"/>
  <c r="Z82" i="2"/>
  <c r="U82" i="2"/>
  <c r="Z89" i="2"/>
  <c r="U89" i="2"/>
  <c r="V89" i="2"/>
  <c r="T89" i="2" s="1"/>
  <c r="I89" i="2" s="1"/>
  <c r="Z101" i="2"/>
  <c r="U101" i="2"/>
  <c r="V101" i="2"/>
  <c r="T101" i="2" s="1"/>
  <c r="V138" i="2"/>
  <c r="T138" i="2" s="1"/>
  <c r="I138" i="2" s="1"/>
  <c r="Z138" i="2"/>
  <c r="U138" i="2"/>
  <c r="V111" i="2"/>
  <c r="T111" i="2" s="1"/>
  <c r="I111" i="2" s="1"/>
  <c r="U111" i="2"/>
  <c r="Z111" i="2"/>
  <c r="V129" i="2"/>
  <c r="T129" i="2" s="1"/>
  <c r="U129" i="2"/>
  <c r="Z129" i="2"/>
  <c r="V144" i="2"/>
  <c r="T144" i="2" s="1"/>
  <c r="Z144" i="2"/>
  <c r="U144" i="2"/>
  <c r="V76" i="2"/>
  <c r="T76" i="2" s="1"/>
  <c r="I76" i="2" s="1"/>
  <c r="Z76" i="2"/>
  <c r="U76" i="2"/>
  <c r="U102" i="2"/>
  <c r="V102" i="2"/>
  <c r="T102" i="2" s="1"/>
  <c r="Z102" i="2"/>
  <c r="U108" i="2"/>
  <c r="V108" i="2"/>
  <c r="T108" i="2" s="1"/>
  <c r="Z108" i="2"/>
  <c r="Z38" i="2"/>
  <c r="V114" i="2"/>
  <c r="T114" i="2" s="1"/>
  <c r="I114" i="2" s="1"/>
  <c r="Z114" i="2"/>
  <c r="U114" i="2"/>
  <c r="V126" i="2"/>
  <c r="Z126" i="2"/>
  <c r="U126" i="2"/>
  <c r="V135" i="2"/>
  <c r="T135" i="2" s="1"/>
  <c r="I135" i="2" s="1"/>
  <c r="U135" i="2"/>
  <c r="Z135" i="2"/>
  <c r="Z35" i="2"/>
  <c r="H35" i="2"/>
  <c r="Z34" i="2"/>
  <c r="H34" i="2"/>
  <c r="H36" i="2"/>
  <c r="Z36" i="2"/>
  <c r="O10" i="1"/>
  <c r="O11" i="1" s="1"/>
  <c r="N10" i="1"/>
  <c r="N11" i="1" s="1"/>
  <c r="M10" i="1"/>
  <c r="M11" i="1" s="1"/>
  <c r="L10" i="1"/>
  <c r="L11" i="1" s="1"/>
  <c r="K11" i="1"/>
  <c r="O9" i="1"/>
  <c r="N9" i="1"/>
  <c r="M9" i="1"/>
  <c r="L9" i="1"/>
  <c r="K9" i="1"/>
  <c r="G10" i="1"/>
  <c r="G11" i="1" s="1"/>
  <c r="F10" i="1"/>
  <c r="F11" i="1" s="1"/>
  <c r="E10" i="1"/>
  <c r="E11" i="1" s="1"/>
  <c r="D10" i="1"/>
  <c r="D11" i="1" s="1"/>
  <c r="G9" i="1"/>
  <c r="F9" i="1"/>
  <c r="E9" i="1"/>
  <c r="D9" i="1"/>
  <c r="C9" i="1"/>
  <c r="C10" i="1" s="1"/>
  <c r="Y28" i="1"/>
  <c r="Y26" i="1"/>
  <c r="Y24" i="1"/>
  <c r="Y22" i="1"/>
  <c r="Y20" i="1"/>
  <c r="Y18" i="1"/>
  <c r="Y16" i="1"/>
  <c r="Y14" i="1"/>
  <c r="Y12" i="1"/>
  <c r="Y10" i="1"/>
  <c r="Y8" i="1"/>
  <c r="Y6" i="1"/>
  <c r="I58" i="2" l="1"/>
  <c r="I49" i="2"/>
  <c r="I40" i="2"/>
  <c r="I48" i="2"/>
  <c r="I65" i="2"/>
  <c r="I92" i="2"/>
  <c r="I64" i="2"/>
  <c r="I96" i="2"/>
  <c r="I20" i="2"/>
  <c r="I84" i="2"/>
  <c r="I93" i="2"/>
  <c r="I51" i="2"/>
  <c r="U9" i="2"/>
  <c r="V9" i="2"/>
  <c r="T9" i="2" s="1"/>
  <c r="V7" i="2"/>
  <c r="T7" i="2" s="1"/>
  <c r="U7" i="2"/>
  <c r="V8" i="2"/>
  <c r="T8" i="2" s="1"/>
  <c r="I8" i="2" s="1"/>
  <c r="U12" i="2"/>
  <c r="V12" i="2"/>
  <c r="T12" i="2" s="1"/>
  <c r="U14" i="2"/>
  <c r="V14" i="2"/>
  <c r="T14" i="2" s="1"/>
  <c r="U15" i="2"/>
  <c r="V15" i="2"/>
  <c r="T15" i="2" s="1"/>
  <c r="Z13" i="2"/>
  <c r="U13" i="2"/>
  <c r="V13" i="2"/>
  <c r="T13" i="2" s="1"/>
  <c r="U19" i="2"/>
  <c r="V19" i="2"/>
  <c r="T19" i="2" s="1"/>
  <c r="U16" i="2"/>
  <c r="V16" i="2"/>
  <c r="T16" i="2" s="1"/>
  <c r="H14" i="2"/>
  <c r="H15" i="2"/>
  <c r="H13" i="2"/>
  <c r="H19" i="2"/>
  <c r="H9" i="2"/>
  <c r="H7" i="2"/>
  <c r="H12" i="2"/>
  <c r="I12" i="2" s="1"/>
  <c r="Z19" i="2"/>
  <c r="Z12" i="2"/>
  <c r="Z16" i="2"/>
  <c r="I56" i="2"/>
  <c r="I69" i="2"/>
  <c r="J69" i="2" s="1"/>
  <c r="I91" i="2"/>
  <c r="H16" i="2"/>
  <c r="I37" i="2"/>
  <c r="J37" i="2" s="1"/>
  <c r="I42" i="2"/>
  <c r="I54" i="2"/>
  <c r="J99" i="2"/>
  <c r="J100" i="2" s="1"/>
  <c r="J103" i="2" s="1"/>
  <c r="J104" i="2" s="1"/>
  <c r="J105" i="2" s="1"/>
  <c r="J106" i="2" s="1"/>
  <c r="J107" i="2" s="1"/>
  <c r="J110" i="2" s="1"/>
  <c r="J111" i="2" s="1"/>
  <c r="J112" i="2" s="1"/>
  <c r="J113" i="2" s="1"/>
  <c r="J114" i="2" s="1"/>
  <c r="J117" i="2" s="1"/>
  <c r="J118" i="2" s="1"/>
  <c r="J119" i="2" s="1"/>
  <c r="J120" i="2" s="1"/>
  <c r="J121" i="2" s="1"/>
  <c r="J124" i="2" s="1"/>
  <c r="J125" i="2" s="1"/>
  <c r="I97" i="2"/>
  <c r="I90" i="2"/>
  <c r="I55" i="2"/>
  <c r="I41" i="2"/>
  <c r="I75" i="2"/>
  <c r="I70" i="2"/>
  <c r="I71" i="2"/>
  <c r="J134" i="2"/>
  <c r="J135" i="2" s="1"/>
  <c r="J138" i="2" s="1"/>
  <c r="J139" i="2" s="1"/>
  <c r="J140" i="2" s="1"/>
  <c r="J141" i="2" s="1"/>
  <c r="J142" i="2" s="1"/>
  <c r="J145" i="2" s="1"/>
  <c r="J146" i="2" s="1"/>
  <c r="J147" i="2" s="1"/>
  <c r="J148" i="2" s="1"/>
  <c r="J149" i="2" s="1"/>
  <c r="J152" i="2" s="1"/>
  <c r="J153" i="2" s="1"/>
  <c r="J154" i="2" s="1"/>
  <c r="J155" i="2" s="1"/>
  <c r="J156" i="2" s="1"/>
  <c r="J161" i="2"/>
  <c r="J162" i="2" s="1"/>
  <c r="J163" i="2" s="1"/>
  <c r="J166" i="2" s="1"/>
  <c r="J167" i="2" s="1"/>
  <c r="J168" i="2" s="1"/>
  <c r="J169" i="2" s="1"/>
  <c r="J170" i="2" s="1"/>
  <c r="J173" i="2" s="1"/>
  <c r="J174" i="2" s="1"/>
  <c r="J175" i="2" s="1"/>
  <c r="J176" i="2" s="1"/>
  <c r="J177" i="2" s="1"/>
  <c r="J180" i="2" s="1"/>
  <c r="J181" i="2" s="1"/>
  <c r="J182" i="2" s="1"/>
  <c r="J183" i="2" s="1"/>
  <c r="J184" i="2" s="1"/>
  <c r="J187" i="2" s="1"/>
  <c r="J188" i="2" s="1"/>
  <c r="I33" i="2"/>
  <c r="Z7" i="2"/>
  <c r="I27" i="2"/>
  <c r="I21" i="2"/>
  <c r="Z9" i="2"/>
  <c r="Z15" i="2"/>
  <c r="I30" i="2"/>
  <c r="I57" i="2"/>
  <c r="T126" i="2"/>
  <c r="I126" i="2" s="1"/>
  <c r="I23" i="2"/>
  <c r="I22" i="2"/>
  <c r="I26" i="2"/>
  <c r="I28" i="2"/>
  <c r="I29" i="2"/>
  <c r="I35" i="2"/>
  <c r="I34" i="2"/>
  <c r="I36" i="2"/>
  <c r="J6" i="2"/>
  <c r="Z6" i="2"/>
  <c r="C11" i="1"/>
  <c r="C12" i="1" s="1"/>
  <c r="C66" i="1"/>
  <c r="Y33" i="1"/>
  <c r="J70" i="2" l="1"/>
  <c r="J71" i="2" s="1"/>
  <c r="J72" i="2" s="1"/>
  <c r="J75" i="2" s="1"/>
  <c r="J76" i="2" s="1"/>
  <c r="J77" i="2" s="1"/>
  <c r="J78" i="2" s="1"/>
  <c r="J79" i="2" s="1"/>
  <c r="J82" i="2" s="1"/>
  <c r="J83" i="2" s="1"/>
  <c r="J84" i="2" s="1"/>
  <c r="J85" i="2" s="1"/>
  <c r="J86" i="2" s="1"/>
  <c r="J89" i="2" s="1"/>
  <c r="J90" i="2" s="1"/>
  <c r="J91" i="2" s="1"/>
  <c r="J92" i="2" s="1"/>
  <c r="J93" i="2" s="1"/>
  <c r="J96" i="2" s="1"/>
  <c r="J97" i="2" s="1"/>
  <c r="I13" i="2"/>
  <c r="I15" i="2"/>
  <c r="I19" i="2"/>
  <c r="I14" i="2"/>
  <c r="I9" i="2"/>
  <c r="I7" i="2"/>
  <c r="J7" i="2" s="1"/>
  <c r="J8" i="2" s="1"/>
  <c r="I16" i="2"/>
  <c r="J126" i="2"/>
  <c r="J127" i="2" s="1"/>
  <c r="J128" i="2" s="1"/>
  <c r="H120" i="1"/>
  <c r="J9" i="2" l="1"/>
  <c r="J12" i="2" s="1"/>
  <c r="Y55" i="1"/>
  <c r="Y53" i="1"/>
  <c r="Y51" i="1"/>
  <c r="Y49" i="1"/>
  <c r="Y47" i="1"/>
  <c r="Y45" i="1"/>
  <c r="Y43" i="1"/>
  <c r="G37" i="1" s="1"/>
  <c r="G38" i="1" s="1"/>
  <c r="Y41" i="1"/>
  <c r="Y39" i="1"/>
  <c r="Y37" i="1"/>
  <c r="Y35" i="1"/>
  <c r="Y163" i="1"/>
  <c r="Y161" i="1"/>
  <c r="Y159" i="1"/>
  <c r="Y157" i="1"/>
  <c r="Y155" i="1"/>
  <c r="Y153" i="1"/>
  <c r="Y151" i="1"/>
  <c r="Y149" i="1"/>
  <c r="Y147" i="1"/>
  <c r="Y145" i="1"/>
  <c r="Y143" i="1"/>
  <c r="Y141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09" i="1"/>
  <c r="Y107" i="1"/>
  <c r="Y105" i="1"/>
  <c r="Y103" i="1"/>
  <c r="Y101" i="1"/>
  <c r="Y99" i="1"/>
  <c r="Y97" i="1"/>
  <c r="Y95" i="1"/>
  <c r="Y93" i="1"/>
  <c r="Y91" i="1"/>
  <c r="Y89" i="1"/>
  <c r="Y87" i="1"/>
  <c r="Y82" i="1"/>
  <c r="Y80" i="1"/>
  <c r="Y78" i="1"/>
  <c r="Y76" i="1"/>
  <c r="Y74" i="1"/>
  <c r="Y72" i="1"/>
  <c r="Y70" i="1"/>
  <c r="Y68" i="1"/>
  <c r="Y66" i="1"/>
  <c r="Y64" i="1"/>
  <c r="Y62" i="1"/>
  <c r="Y60" i="1"/>
  <c r="J13" i="2" l="1"/>
  <c r="I2" i="1"/>
  <c r="J14" i="2" l="1"/>
  <c r="J15" i="2" s="1"/>
  <c r="J16" i="2" s="1"/>
  <c r="J19" i="2" s="1"/>
  <c r="C147" i="1"/>
  <c r="J20" i="2" l="1"/>
  <c r="G39" i="1"/>
  <c r="I103" i="1"/>
  <c r="H103" i="1"/>
  <c r="Q94" i="1"/>
  <c r="P94" i="1"/>
  <c r="I94" i="1"/>
  <c r="H94" i="1"/>
  <c r="Q85" i="1"/>
  <c r="P85" i="1"/>
  <c r="I85" i="1"/>
  <c r="H85" i="1"/>
  <c r="I76" i="1"/>
  <c r="H76" i="1"/>
  <c r="Q67" i="1"/>
  <c r="P67" i="1"/>
  <c r="I67" i="1"/>
  <c r="H67" i="1"/>
  <c r="Q58" i="1"/>
  <c r="P58" i="1"/>
  <c r="I58" i="1"/>
  <c r="H58" i="1"/>
  <c r="Q40" i="1"/>
  <c r="P40" i="1"/>
  <c r="Q31" i="1"/>
  <c r="P31" i="1"/>
  <c r="J21" i="2" l="1"/>
  <c r="J22" i="2" s="1"/>
  <c r="J23" i="2" s="1"/>
  <c r="K39" i="1"/>
  <c r="M120" i="1"/>
  <c r="N120" i="1" s="1"/>
  <c r="O120" i="1" s="1"/>
  <c r="C129" i="1" s="1"/>
  <c r="D147" i="1"/>
  <c r="E147" i="1" s="1"/>
  <c r="F147" i="1" s="1"/>
  <c r="G147" i="1" s="1"/>
  <c r="K147" i="1" s="1"/>
  <c r="L147" i="1" s="1"/>
  <c r="M147" i="1" s="1"/>
  <c r="N147" i="1" s="1"/>
  <c r="O147" i="1" s="1"/>
  <c r="C156" i="1" s="1"/>
  <c r="D156" i="1" s="1"/>
  <c r="E156" i="1" s="1"/>
  <c r="F156" i="1" s="1"/>
  <c r="G156" i="1" s="1"/>
  <c r="K156" i="1" s="1"/>
  <c r="L156" i="1" s="1"/>
  <c r="M156" i="1" s="1"/>
  <c r="N156" i="1" s="1"/>
  <c r="O156" i="1" s="1"/>
  <c r="C165" i="1" s="1"/>
  <c r="D165" i="1" s="1"/>
  <c r="E93" i="1"/>
  <c r="F93" i="1" s="1"/>
  <c r="G93" i="1" s="1"/>
  <c r="K93" i="1" s="1"/>
  <c r="L93" i="1" s="1"/>
  <c r="M93" i="1" s="1"/>
  <c r="N93" i="1" s="1"/>
  <c r="O93" i="1" s="1"/>
  <c r="C102" i="1" s="1"/>
  <c r="D102" i="1" s="1"/>
  <c r="E102" i="1" s="1"/>
  <c r="F102" i="1" s="1"/>
  <c r="G102" i="1" s="1"/>
  <c r="K102" i="1" s="1"/>
  <c r="L102" i="1" s="1"/>
  <c r="M102" i="1" s="1"/>
  <c r="N102" i="1" s="1"/>
  <c r="O102" i="1" s="1"/>
  <c r="C111" i="1" s="1"/>
  <c r="D111" i="1" s="1"/>
  <c r="E111" i="1" s="1"/>
  <c r="F111" i="1" s="1"/>
  <c r="G111" i="1" s="1"/>
  <c r="D66" i="1"/>
  <c r="E66" i="1" s="1"/>
  <c r="F66" i="1" s="1"/>
  <c r="G66" i="1" s="1"/>
  <c r="K66" i="1" s="1"/>
  <c r="L66" i="1" s="1"/>
  <c r="M66" i="1" s="1"/>
  <c r="N66" i="1" s="1"/>
  <c r="O66" i="1" s="1"/>
  <c r="C75" i="1" s="1"/>
  <c r="D75" i="1" s="1"/>
  <c r="E75" i="1" s="1"/>
  <c r="F75" i="1" s="1"/>
  <c r="G75" i="1" s="1"/>
  <c r="K75" i="1" s="1"/>
  <c r="L75" i="1" s="1"/>
  <c r="M75" i="1" s="1"/>
  <c r="N75" i="1" s="1"/>
  <c r="O75" i="1" s="1"/>
  <c r="C84" i="1" s="1"/>
  <c r="D12" i="1"/>
  <c r="J26" i="2" l="1"/>
  <c r="L39" i="1"/>
  <c r="M39" i="1" s="1"/>
  <c r="N39" i="1" s="1"/>
  <c r="O39" i="1" s="1"/>
  <c r="C48" i="1" s="1"/>
  <c r="D48" i="1" s="1"/>
  <c r="E48" i="1" s="1"/>
  <c r="F48" i="1" s="1"/>
  <c r="G48" i="1" s="1"/>
  <c r="K48" i="1" s="1"/>
  <c r="L48" i="1" s="1"/>
  <c r="M48" i="1" s="1"/>
  <c r="N48" i="1" s="1"/>
  <c r="O48" i="1" s="1"/>
  <c r="C57" i="1" s="1"/>
  <c r="D57" i="1" s="1"/>
  <c r="E57" i="1" s="1"/>
  <c r="F57" i="1" s="1"/>
  <c r="G57" i="1" s="1"/>
  <c r="D129" i="1"/>
  <c r="E129" i="1" s="1"/>
  <c r="F129" i="1" s="1"/>
  <c r="G129" i="1" s="1"/>
  <c r="K129" i="1" s="1"/>
  <c r="L129" i="1" s="1"/>
  <c r="M129" i="1" s="1"/>
  <c r="N129" i="1" s="1"/>
  <c r="O129" i="1" s="1"/>
  <c r="C138" i="1" s="1"/>
  <c r="D138" i="1" s="1"/>
  <c r="E138" i="1" s="1"/>
  <c r="F138" i="1" s="1"/>
  <c r="G138" i="1" s="1"/>
  <c r="D84" i="1"/>
  <c r="E12" i="1"/>
  <c r="F12" i="1" s="1"/>
  <c r="G12" i="1" s="1"/>
  <c r="K12" i="1" s="1"/>
  <c r="L12" i="1" s="1"/>
  <c r="M12" i="1" s="1"/>
  <c r="N12" i="1" s="1"/>
  <c r="J27" i="2" l="1"/>
  <c r="O12" i="1"/>
  <c r="J28" i="2" l="1"/>
  <c r="J29" i="2" s="1"/>
  <c r="J30" i="2" s="1"/>
  <c r="J33" i="2" s="1"/>
  <c r="J34" i="2" s="1"/>
  <c r="J35" i="2" s="1"/>
  <c r="J36" i="2" s="1"/>
  <c r="J40" i="2" s="1"/>
  <c r="J41" i="2" s="1"/>
  <c r="J42" i="2" s="1"/>
  <c r="J43" i="2" s="1"/>
  <c r="J44" i="2" s="1"/>
  <c r="J47" i="2" s="1"/>
  <c r="J48" i="2" s="1"/>
  <c r="J49" i="2" s="1"/>
  <c r="J50" i="2" s="1"/>
  <c r="J51" i="2" s="1"/>
  <c r="J54" i="2" s="1"/>
  <c r="J55" i="2" s="1"/>
  <c r="J56" i="2" s="1"/>
  <c r="J57" i="2" s="1"/>
  <c r="J58" i="2" s="1"/>
  <c r="J61" i="2" s="1"/>
  <c r="J62" i="2" s="1"/>
  <c r="J63" i="2" s="1"/>
  <c r="J64" i="2" s="1"/>
  <c r="J65" i="2" s="1"/>
  <c r="C21" i="1"/>
  <c r="D21" i="1" l="1"/>
  <c r="E21" i="1" l="1"/>
  <c r="F21" i="1" l="1"/>
  <c r="G21" i="1" l="1"/>
  <c r="K21" i="1" l="1"/>
  <c r="L21" i="1" l="1"/>
  <c r="M21" i="1" l="1"/>
  <c r="N21" i="1" l="1"/>
  <c r="O21" i="1" l="1"/>
  <c r="C30" i="1" l="1"/>
  <c r="D30" i="1" l="1"/>
  <c r="E30" i="1" l="1"/>
  <c r="F30" i="1" l="1"/>
  <c r="J2" i="1" s="1" a="1"/>
  <c r="J2" i="1" s="1"/>
  <c r="J1" i="1" l="1" a="1"/>
  <c r="J1" i="1" s="1"/>
  <c r="E1" i="1" s="1"/>
  <c r="G1" i="1" l="1"/>
  <c r="I1" i="1"/>
  <c r="C1" i="1"/>
</calcChain>
</file>

<file path=xl/sharedStrings.xml><?xml version="1.0" encoding="utf-8"?>
<sst xmlns="http://schemas.openxmlformats.org/spreadsheetml/2006/main" count="779" uniqueCount="146">
  <si>
    <t>вход</t>
  </si>
  <si>
    <t>выход</t>
  </si>
  <si>
    <t xml:space="preserve">итого день </t>
  </si>
  <si>
    <t>баланс день</t>
  </si>
  <si>
    <t>баланс месц</t>
  </si>
  <si>
    <t>2025г.</t>
  </si>
  <si>
    <t>суббота (-1ч)</t>
  </si>
  <si>
    <t xml:space="preserve">праздничные дни </t>
  </si>
  <si>
    <t>Июль</t>
  </si>
  <si>
    <t>Август</t>
  </si>
  <si>
    <t>вход:</t>
  </si>
  <si>
    <t>невход:</t>
  </si>
  <si>
    <t>уход:</t>
  </si>
  <si>
    <t>сегодня:</t>
  </si>
  <si>
    <t>дата</t>
  </si>
  <si>
    <t>время</t>
  </si>
  <si>
    <t>МК</t>
  </si>
  <si>
    <t>пример</t>
  </si>
  <si>
    <t>3:00</t>
  </si>
  <si>
    <t>01.07</t>
  </si>
  <si>
    <t>01.08</t>
  </si>
  <si>
    <t>01.09</t>
  </si>
  <si>
    <t>01.10</t>
  </si>
  <si>
    <t>01.11</t>
  </si>
  <si>
    <t>01.12</t>
  </si>
  <si>
    <t>вторник</t>
  </si>
  <si>
    <t>среда</t>
  </si>
  <si>
    <t>четверг</t>
  </si>
  <si>
    <t>пятиница</t>
  </si>
  <si>
    <t>суббота</t>
  </si>
  <si>
    <t>воскресенье</t>
  </si>
  <si>
    <t>понедельник</t>
  </si>
  <si>
    <t>Сентябрь</t>
  </si>
  <si>
    <t>Октябрь</t>
  </si>
  <si>
    <t>Ноябрь</t>
  </si>
  <si>
    <t>Декабрь</t>
  </si>
  <si>
    <t>Дни рождения в этом месяце</t>
  </si>
  <si>
    <t>2 августа</t>
  </si>
  <si>
    <t>10 августа</t>
  </si>
  <si>
    <t>15 августа</t>
  </si>
  <si>
    <t>25 августа</t>
  </si>
  <si>
    <t>26 августа</t>
  </si>
  <si>
    <r>
      <rPr>
        <sz val="11"/>
        <rFont val="Calibri"/>
        <family val="2"/>
        <charset val="204"/>
        <scheme val="minor"/>
      </rPr>
      <t>Михайлов</t>
    </r>
  </si>
  <si>
    <r>
      <rPr>
        <sz val="11"/>
        <rFont val="Calibri"/>
        <family val="2"/>
        <charset val="204"/>
        <scheme val="minor"/>
      </rPr>
      <t>Дмитрий</t>
    </r>
  </si>
  <si>
    <r>
      <rPr>
        <sz val="11"/>
        <rFont val="Calibri"/>
        <family val="2"/>
        <charset val="204"/>
        <scheme val="minor"/>
      </rPr>
      <t>Николаевич</t>
    </r>
  </si>
  <si>
    <r>
      <rPr>
        <sz val="11"/>
        <rFont val="Calibri"/>
        <family val="2"/>
        <charset val="204"/>
        <scheme val="minor"/>
      </rPr>
      <t>202-2</t>
    </r>
  </si>
  <si>
    <r>
      <rPr>
        <sz val="11"/>
        <rFont val="Calibri"/>
        <family val="2"/>
        <charset val="204"/>
        <scheme val="minor"/>
      </rPr>
      <t>Винокуров</t>
    </r>
  </si>
  <si>
    <r>
      <rPr>
        <sz val="11"/>
        <rFont val="Calibri"/>
        <family val="2"/>
        <charset val="204"/>
        <scheme val="minor"/>
      </rPr>
      <t>Сергей</t>
    </r>
  </si>
  <si>
    <r>
      <rPr>
        <sz val="11"/>
        <rFont val="Calibri"/>
        <family val="2"/>
        <charset val="204"/>
        <scheme val="minor"/>
      </rPr>
      <t>201-3</t>
    </r>
  </si>
  <si>
    <r>
      <rPr>
        <b/>
        <sz val="11"/>
        <rFont val="Calibri"/>
        <family val="2"/>
        <charset val="204"/>
        <scheme val="minor"/>
      </rPr>
      <t>Питомиц</t>
    </r>
  </si>
  <si>
    <r>
      <rPr>
        <b/>
        <sz val="11"/>
        <rFont val="Calibri"/>
        <family val="2"/>
        <charset val="204"/>
        <scheme val="minor"/>
      </rPr>
      <t>Евгений</t>
    </r>
  </si>
  <si>
    <r>
      <rPr>
        <b/>
        <sz val="11"/>
        <rFont val="Calibri"/>
        <family val="2"/>
        <charset val="204"/>
        <scheme val="minor"/>
      </rPr>
      <t>Николаевич</t>
    </r>
  </si>
  <si>
    <r>
      <rPr>
        <b/>
        <sz val="11"/>
        <rFont val="Calibri"/>
        <family val="2"/>
        <charset val="204"/>
        <scheme val="minor"/>
      </rPr>
      <t>201-1</t>
    </r>
  </si>
  <si>
    <r>
      <rPr>
        <sz val="11"/>
        <rFont val="Calibri"/>
        <family val="2"/>
        <charset val="204"/>
        <scheme val="minor"/>
      </rPr>
      <t>Шаварина</t>
    </r>
  </si>
  <si>
    <r>
      <rPr>
        <sz val="11"/>
        <rFont val="Calibri"/>
        <family val="2"/>
        <charset val="204"/>
        <scheme val="minor"/>
      </rPr>
      <t>Лидия</t>
    </r>
  </si>
  <si>
    <r>
      <rPr>
        <sz val="11"/>
        <rFont val="Calibri"/>
        <family val="2"/>
        <charset val="204"/>
        <scheme val="minor"/>
      </rPr>
      <t>Викторовна</t>
    </r>
  </si>
  <si>
    <r>
      <rPr>
        <sz val="11"/>
        <rFont val="Calibri"/>
        <family val="2"/>
        <charset val="204"/>
        <scheme val="minor"/>
      </rPr>
      <t>201-5</t>
    </r>
  </si>
  <si>
    <r>
      <rPr>
        <sz val="11"/>
        <rFont val="Calibri"/>
        <family val="2"/>
        <charset val="204"/>
        <scheme val="minor"/>
      </rPr>
      <t>Газаев</t>
    </r>
  </si>
  <si>
    <r>
      <rPr>
        <sz val="11"/>
        <rFont val="Calibri"/>
        <family val="2"/>
        <charset val="204"/>
        <scheme val="minor"/>
      </rPr>
      <t>Георгий</t>
    </r>
  </si>
  <si>
    <r>
      <rPr>
        <sz val="11"/>
        <rFont val="Calibri"/>
        <family val="2"/>
        <charset val="204"/>
        <scheme val="minor"/>
      </rPr>
      <t>Владиславович</t>
    </r>
  </si>
  <si>
    <r>
      <rPr>
        <sz val="11"/>
        <rFont val="Calibri"/>
        <family val="2"/>
        <charset val="204"/>
        <scheme val="minor"/>
      </rPr>
      <t>Бр. 203</t>
    </r>
  </si>
  <si>
    <r>
      <rPr>
        <b/>
        <sz val="11"/>
        <rFont val="Calibri"/>
        <family val="2"/>
        <charset val="204"/>
        <scheme val="minor"/>
      </rPr>
      <t>Луцкая</t>
    </r>
  </si>
  <si>
    <r>
      <rPr>
        <b/>
        <sz val="11"/>
        <rFont val="Calibri"/>
        <family val="2"/>
        <charset val="204"/>
        <scheme val="minor"/>
      </rPr>
      <t>Валентина</t>
    </r>
  </si>
  <si>
    <r>
      <rPr>
        <b/>
        <sz val="11"/>
        <rFont val="Calibri"/>
        <family val="2"/>
        <charset val="204"/>
        <scheme val="minor"/>
      </rPr>
      <t>Александровна</t>
    </r>
  </si>
  <si>
    <r>
      <rPr>
        <b/>
        <sz val="12"/>
        <rFont val="Calibri"/>
        <family val="2"/>
        <charset val="204"/>
        <scheme val="minor"/>
      </rPr>
      <t>Кропотин</t>
    </r>
  </si>
  <si>
    <r>
      <rPr>
        <b/>
        <sz val="12"/>
        <rFont val="Calibri"/>
        <family val="2"/>
        <charset val="204"/>
        <scheme val="minor"/>
      </rPr>
      <t>Валерий</t>
    </r>
  </si>
  <si>
    <r>
      <rPr>
        <b/>
        <sz val="12"/>
        <rFont val="Calibri"/>
        <family val="2"/>
        <charset val="204"/>
        <scheme val="minor"/>
      </rPr>
      <t>Александрович</t>
    </r>
  </si>
  <si>
    <r>
      <rPr>
        <b/>
        <sz val="12"/>
        <rFont val="Calibri"/>
        <family val="2"/>
        <charset val="204"/>
        <scheme val="minor"/>
      </rPr>
      <t>201-4</t>
    </r>
  </si>
  <si>
    <r>
      <rPr>
        <b/>
        <sz val="12"/>
        <rFont val="Calibri"/>
        <family val="2"/>
        <charset val="204"/>
        <scheme val="minor"/>
      </rPr>
      <t>Дибин</t>
    </r>
  </si>
  <si>
    <r>
      <rPr>
        <b/>
        <sz val="12"/>
        <rFont val="Calibri"/>
        <family val="2"/>
        <charset val="204"/>
        <scheme val="minor"/>
      </rPr>
      <t>Александр</t>
    </r>
  </si>
  <si>
    <r>
      <rPr>
        <b/>
        <sz val="12"/>
        <rFont val="Calibri"/>
        <family val="2"/>
        <charset val="204"/>
        <scheme val="minor"/>
      </rPr>
      <t>Борисович</t>
    </r>
  </si>
  <si>
    <r>
      <rPr>
        <b/>
        <sz val="12"/>
        <rFont val="Calibri"/>
        <family val="2"/>
        <charset val="204"/>
        <scheme val="minor"/>
      </rPr>
      <t>НИО 200</t>
    </r>
  </si>
  <si>
    <t>14 сентября</t>
  </si>
  <si>
    <t>28 сентября</t>
  </si>
  <si>
    <t>Котоусов</t>
  </si>
  <si>
    <r>
      <rPr>
        <sz val="11"/>
        <rFont val="Calibri"/>
        <family val="2"/>
        <charset val="204"/>
        <scheme val="minor"/>
      </rPr>
      <t>Сидоров</t>
    </r>
  </si>
  <si>
    <r>
      <rPr>
        <sz val="11"/>
        <rFont val="Calibri"/>
        <family val="2"/>
        <charset val="204"/>
        <scheme val="minor"/>
      </rPr>
      <t>Александрович</t>
    </r>
  </si>
  <si>
    <r>
      <rPr>
        <sz val="11"/>
        <rFont val="Calibri"/>
        <family val="2"/>
        <charset val="204"/>
        <scheme val="minor"/>
      </rPr>
      <t>Ярослав</t>
    </r>
  </si>
  <si>
    <r>
      <rPr>
        <sz val="11"/>
        <rFont val="Calibri"/>
        <family val="2"/>
        <charset val="204"/>
        <scheme val="minor"/>
      </rPr>
      <t>Алексеевич</t>
    </r>
  </si>
  <si>
    <r>
      <rPr>
        <sz val="11"/>
        <rFont val="Calibri"/>
        <family val="2"/>
        <charset val="204"/>
        <scheme val="minor"/>
      </rPr>
      <t>Матвеева</t>
    </r>
  </si>
  <si>
    <r>
      <rPr>
        <sz val="11"/>
        <rFont val="Calibri"/>
        <family val="2"/>
        <charset val="204"/>
        <scheme val="minor"/>
      </rPr>
      <t>Юлия</t>
    </r>
  </si>
  <si>
    <r>
      <rPr>
        <sz val="11"/>
        <rFont val="Calibri"/>
        <family val="2"/>
        <charset val="204"/>
        <scheme val="minor"/>
      </rPr>
      <t>Александровна</t>
    </r>
  </si>
  <si>
    <r>
      <rPr>
        <b/>
        <sz val="11"/>
        <rFont val="Calibri"/>
        <family val="2"/>
        <charset val="204"/>
        <scheme val="minor"/>
      </rPr>
      <t>Малышев</t>
    </r>
  </si>
  <si>
    <r>
      <rPr>
        <b/>
        <sz val="11"/>
        <rFont val="Calibri"/>
        <family val="2"/>
        <charset val="204"/>
        <scheme val="minor"/>
      </rPr>
      <t>Сергей</t>
    </r>
  </si>
  <si>
    <r>
      <rPr>
        <b/>
        <sz val="11"/>
        <rFont val="Calibri"/>
        <family val="2"/>
        <charset val="204"/>
        <scheme val="minor"/>
      </rPr>
      <t>Игоревич</t>
    </r>
  </si>
  <si>
    <r>
      <rPr>
        <sz val="11"/>
        <rFont val="Calibri"/>
        <family val="2"/>
        <charset val="204"/>
        <scheme val="minor"/>
      </rPr>
      <t>Перепёлкин</t>
    </r>
  </si>
  <si>
    <r>
      <rPr>
        <sz val="11"/>
        <rFont val="Calibri"/>
        <family val="2"/>
        <charset val="204"/>
        <scheme val="minor"/>
      </rPr>
      <t>Станислав</t>
    </r>
  </si>
  <si>
    <r>
      <rPr>
        <sz val="11"/>
        <rFont val="Calibri"/>
        <family val="2"/>
        <charset val="204"/>
        <scheme val="minor"/>
      </rPr>
      <t>Евгеньевич</t>
    </r>
  </si>
  <si>
    <r>
      <rPr>
        <sz val="11"/>
        <rFont val="Calibri"/>
        <family val="2"/>
        <charset val="204"/>
        <scheme val="minor"/>
      </rPr>
      <t>201-4</t>
    </r>
  </si>
  <si>
    <t>3 ноября</t>
  </si>
  <si>
    <t>9 ноября</t>
  </si>
  <si>
    <t>20 ноября</t>
  </si>
  <si>
    <t>22 ноября</t>
  </si>
  <si>
    <t>27 ноября</t>
  </si>
  <si>
    <t>Сидельников</t>
  </si>
  <si>
    <t>Максим</t>
  </si>
  <si>
    <t>Константинович</t>
  </si>
  <si>
    <t>201-1</t>
  </si>
  <si>
    <t>Петров</t>
  </si>
  <si>
    <t>Вячеслав</t>
  </si>
  <si>
    <t>Владимирович</t>
  </si>
  <si>
    <t>201-3</t>
  </si>
  <si>
    <t>Козмодемьянов</t>
  </si>
  <si>
    <t>Евгений</t>
  </si>
  <si>
    <t>Алексеевич</t>
  </si>
  <si>
    <t>30 октября</t>
  </si>
  <si>
    <t>14 октября</t>
  </si>
  <si>
    <t>5 октября</t>
  </si>
  <si>
    <t>Бр. 203</t>
  </si>
  <si>
    <t>7 декабря 1994</t>
  </si>
  <si>
    <t>Нурмухаметов</t>
  </si>
  <si>
    <t>Дамир</t>
  </si>
  <si>
    <t>Надирович</t>
  </si>
  <si>
    <t>12 декабря 1975</t>
  </si>
  <si>
    <t>Прокопец</t>
  </si>
  <si>
    <t>Александр</t>
  </si>
  <si>
    <t>Иванович</t>
  </si>
  <si>
    <t>дополнительные вход/выходы</t>
  </si>
  <si>
    <t>итого (авт)</t>
  </si>
  <si>
    <t>Направление      прохода</t>
  </si>
  <si>
    <t>Время</t>
  </si>
  <si>
    <t>Дата</t>
  </si>
  <si>
    <t>ручной расчет времени:</t>
  </si>
  <si>
    <t>выход:</t>
  </si>
  <si>
    <t>итого:</t>
  </si>
  <si>
    <t>на территории за день</t>
  </si>
  <si>
    <t>аут терр за день</t>
  </si>
  <si>
    <t>12  на терр</t>
  </si>
  <si>
    <t>10 на терр</t>
  </si>
  <si>
    <t>8  на терр</t>
  </si>
  <si>
    <t>6  на терр</t>
  </si>
  <si>
    <t>4  на терр</t>
  </si>
  <si>
    <t>2  на терр</t>
  </si>
  <si>
    <t>12  за терр</t>
  </si>
  <si>
    <t>10 за терр</t>
  </si>
  <si>
    <t>8  за терр</t>
  </si>
  <si>
    <t>6  за терр</t>
  </si>
  <si>
    <t>4  за терр</t>
  </si>
  <si>
    <t>2  за терр</t>
  </si>
  <si>
    <t xml:space="preserve">День недели </t>
  </si>
  <si>
    <t>Итого за день</t>
  </si>
  <si>
    <t>обед 8</t>
  </si>
  <si>
    <t>обед 6</t>
  </si>
  <si>
    <t xml:space="preserve">обед </t>
  </si>
  <si>
    <t>проверка</t>
  </si>
  <si>
    <t>Проходная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</si>
</sst>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[h]:mm"/>
    <numFmt numFmtId="166" formatCode="dddd"/>
    <numFmt numFmtId="167" formatCode="mmmm"/>
    <numFmt numFmtId="168" formatCode="###0;###0"/>
    <numFmt numFmtId="169" formatCode="dd\ mmmm\ "/>
  </numFmts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u/>
      <sz val="14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u/>
      <sz val="1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i/>
      <u/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sz val="14"/>
      <color theme="2" tint="-0.249977111117893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1">
    <xf numFmtId="0" fontId="0" fillId="0" borderId="0" xfId="0"/>
    <xf numFmtId="14" fontId="2" fillId="3" borderId="9" xfId="0" applyNumberFormat="1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14" fontId="2" fillId="3" borderId="12" xfId="0" applyNumberFormat="1" applyFont="1" applyFill="1" applyBorder="1" applyAlignment="1">
      <alignment horizontal="center" vertical="center"/>
    </xf>
    <xf numFmtId="14" fontId="2" fillId="3" borderId="15" xfId="0" applyNumberFormat="1" applyFont="1" applyFill="1" applyBorder="1" applyAlignment="1">
      <alignment horizontal="center" vertical="center"/>
    </xf>
    <xf numFmtId="166" fontId="0" fillId="2" borderId="11" xfId="0" applyNumberForma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0" borderId="9" xfId="0" applyNumberFormat="1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20" fontId="0" fillId="2" borderId="8" xfId="0" applyNumberFormat="1" applyFill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46" fontId="0" fillId="2" borderId="1" xfId="0" applyNumberFormat="1" applyFill="1" applyBorder="1" applyAlignment="1">
      <alignment horizontal="center" vertical="center"/>
    </xf>
    <xf numFmtId="46" fontId="0" fillId="2" borderId="3" xfId="0" applyNumberForma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6" fontId="0" fillId="2" borderId="6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0" fontId="0" fillId="2" borderId="4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4" fontId="0" fillId="2" borderId="7" xfId="0" applyNumberFormat="1" applyFill="1" applyBorder="1" applyAlignment="1">
      <alignment vertical="center"/>
    </xf>
    <xf numFmtId="164" fontId="0" fillId="2" borderId="4" xfId="0" applyNumberFormat="1" applyFill="1" applyBorder="1" applyAlignment="1">
      <alignment vertical="center"/>
    </xf>
    <xf numFmtId="20" fontId="0" fillId="2" borderId="6" xfId="0" applyNumberFormat="1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center" vertical="center"/>
    </xf>
    <xf numFmtId="4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20" fontId="0" fillId="2" borderId="3" xfId="0" applyNumberFormat="1" applyFill="1" applyBorder="1" applyAlignment="1">
      <alignment vertical="center"/>
    </xf>
    <xf numFmtId="166" fontId="0" fillId="9" borderId="8" xfId="0" applyNumberFormat="1" applyFill="1" applyBorder="1" applyAlignment="1">
      <alignment horizontal="center" vertical="center"/>
    </xf>
    <xf numFmtId="14" fontId="2" fillId="9" borderId="9" xfId="0" applyNumberFormat="1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center"/>
    </xf>
    <xf numFmtId="164" fontId="0" fillId="2" borderId="5" xfId="0" applyNumberFormat="1" applyFill="1" applyBorder="1" applyAlignment="1">
      <alignment vertical="center"/>
    </xf>
    <xf numFmtId="164" fontId="0" fillId="2" borderId="3" xfId="0" applyNumberFormat="1" applyFill="1" applyBorder="1" applyAlignment="1">
      <alignment vertical="center"/>
    </xf>
    <xf numFmtId="0" fontId="0" fillId="9" borderId="8" xfId="0" applyNumberFormat="1" applyFont="1" applyFill="1" applyBorder="1" applyAlignment="1" applyProtection="1">
      <alignment horizontal="center" vertical="center"/>
    </xf>
    <xf numFmtId="0" fontId="0" fillId="9" borderId="11" xfId="0" applyNumberFormat="1" applyFont="1" applyFill="1" applyBorder="1" applyAlignment="1" applyProtection="1">
      <alignment horizontal="center" vertical="center"/>
    </xf>
    <xf numFmtId="0" fontId="0" fillId="9" borderId="10" xfId="0" applyNumberFormat="1" applyFont="1" applyFill="1" applyBorder="1" applyAlignment="1" applyProtection="1">
      <alignment horizontal="center" vertical="center"/>
    </xf>
    <xf numFmtId="0" fontId="0" fillId="9" borderId="13" xfId="0" applyNumberFormat="1" applyFont="1" applyFill="1" applyBorder="1" applyAlignment="1" applyProtection="1">
      <alignment horizontal="center" vertical="center"/>
    </xf>
    <xf numFmtId="0" fontId="0" fillId="9" borderId="9" xfId="0" applyNumberFormat="1" applyFont="1" applyFill="1" applyBorder="1" applyAlignment="1" applyProtection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0" borderId="21" xfId="0" applyBorder="1"/>
    <xf numFmtId="20" fontId="0" fillId="0" borderId="22" xfId="0" applyNumberFormat="1" applyBorder="1"/>
    <xf numFmtId="0" fontId="0" fillId="0" borderId="22" xfId="0" applyBorder="1"/>
    <xf numFmtId="164" fontId="0" fillId="0" borderId="22" xfId="0" applyNumberFormat="1" applyBorder="1"/>
    <xf numFmtId="0" fontId="0" fillId="0" borderId="24" xfId="0" applyBorder="1"/>
    <xf numFmtId="0" fontId="0" fillId="0" borderId="26" xfId="0" applyBorder="1"/>
    <xf numFmtId="49" fontId="0" fillId="10" borderId="23" xfId="0" applyNumberFormat="1" applyFill="1" applyBorder="1"/>
    <xf numFmtId="49" fontId="0" fillId="10" borderId="24" xfId="0" applyNumberFormat="1" applyFill="1" applyBorder="1"/>
    <xf numFmtId="166" fontId="0" fillId="6" borderId="8" xfId="0" applyNumberForma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20" fontId="0" fillId="6" borderId="4" xfId="0" applyNumberFormat="1" applyFill="1" applyBorder="1" applyAlignment="1">
      <alignment vertical="center"/>
    </xf>
    <xf numFmtId="0" fontId="0" fillId="6" borderId="7" xfId="0" applyFill="1" applyBorder="1" applyAlignment="1">
      <alignment vertical="center"/>
    </xf>
    <xf numFmtId="14" fontId="0" fillId="6" borderId="7" xfId="0" applyNumberFormat="1" applyFill="1" applyBorder="1" applyAlignment="1">
      <alignment vertical="center"/>
    </xf>
    <xf numFmtId="166" fontId="5" fillId="9" borderId="8" xfId="0" applyNumberFormat="1" applyFont="1" applyFill="1" applyBorder="1" applyAlignment="1">
      <alignment horizontal="center" vertical="center"/>
    </xf>
    <xf numFmtId="166" fontId="5" fillId="9" borderId="11" xfId="0" applyNumberFormat="1" applyFont="1" applyFill="1" applyBorder="1" applyAlignment="1">
      <alignment horizontal="center" vertical="center"/>
    </xf>
    <xf numFmtId="166" fontId="0" fillId="11" borderId="8" xfId="0" applyNumberFormat="1" applyFill="1" applyBorder="1" applyAlignment="1">
      <alignment horizontal="center" vertical="center"/>
    </xf>
    <xf numFmtId="166" fontId="5" fillId="12" borderId="8" xfId="0" applyNumberFormat="1" applyFont="1" applyFill="1" applyBorder="1" applyAlignment="1">
      <alignment horizontal="center" vertical="center"/>
    </xf>
    <xf numFmtId="166" fontId="5" fillId="12" borderId="1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 applyProtection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14" fontId="5" fillId="12" borderId="9" xfId="0" applyNumberFormat="1" applyFont="1" applyFill="1" applyBorder="1" applyAlignment="1">
      <alignment horizontal="center" vertical="center"/>
    </xf>
    <xf numFmtId="14" fontId="5" fillId="12" borderId="12" xfId="0" applyNumberFormat="1" applyFont="1" applyFill="1" applyBorder="1" applyAlignment="1">
      <alignment horizontal="center" vertical="center"/>
    </xf>
    <xf numFmtId="14" fontId="5" fillId="12" borderId="15" xfId="0" applyNumberFormat="1" applyFont="1" applyFill="1" applyBorder="1" applyAlignment="1">
      <alignment horizontal="center" vertical="center"/>
    </xf>
    <xf numFmtId="20" fontId="0" fillId="6" borderId="4" xfId="0" applyNumberFormat="1" applyFont="1" applyFill="1" applyBorder="1" applyAlignment="1">
      <alignment vertical="center"/>
    </xf>
    <xf numFmtId="14" fontId="0" fillId="6" borderId="9" xfId="0" applyNumberFormat="1" applyFont="1" applyFill="1" applyBorder="1" applyAlignment="1">
      <alignment horizontal="center" vertical="center"/>
    </xf>
    <xf numFmtId="14" fontId="0" fillId="6" borderId="7" xfId="0" applyNumberFormat="1" applyFont="1" applyFill="1" applyBorder="1" applyAlignment="1">
      <alignment vertical="center"/>
    </xf>
    <xf numFmtId="165" fontId="0" fillId="0" borderId="9" xfId="0" applyNumberFormat="1" applyFont="1" applyFill="1" applyBorder="1" applyAlignment="1">
      <alignment horizontal="center" vertical="center"/>
    </xf>
    <xf numFmtId="165" fontId="0" fillId="0" borderId="2" xfId="0" applyNumberFormat="1" applyFont="1" applyFill="1" applyBorder="1" applyAlignment="1">
      <alignment horizontal="center" vertical="center"/>
    </xf>
    <xf numFmtId="166" fontId="0" fillId="2" borderId="8" xfId="0" applyNumberFormat="1" applyFont="1" applyFill="1" applyBorder="1" applyAlignment="1">
      <alignment horizontal="center" vertical="center"/>
    </xf>
    <xf numFmtId="20" fontId="0" fillId="2" borderId="4" xfId="0" applyNumberFormat="1" applyFont="1" applyFill="1" applyBorder="1" applyAlignment="1">
      <alignment vertical="center"/>
    </xf>
    <xf numFmtId="14" fontId="0" fillId="2" borderId="9" xfId="0" applyNumberFormat="1" applyFont="1" applyFill="1" applyBorder="1" applyAlignment="1">
      <alignment horizontal="center" vertical="center"/>
    </xf>
    <xf numFmtId="14" fontId="0" fillId="2" borderId="7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vertical="center"/>
    </xf>
    <xf numFmtId="20" fontId="0" fillId="2" borderId="8" xfId="0" applyNumberFormat="1" applyFont="1" applyFill="1" applyBorder="1" applyAlignment="1">
      <alignment horizontal="center" vertical="center"/>
    </xf>
    <xf numFmtId="20" fontId="0" fillId="2" borderId="3" xfId="0" applyNumberFormat="1" applyFont="1" applyFill="1" applyBorder="1" applyAlignment="1">
      <alignment horizontal="center" vertical="center"/>
    </xf>
    <xf numFmtId="20" fontId="0" fillId="2" borderId="1" xfId="0" applyNumberFormat="1" applyFont="1" applyFill="1" applyBorder="1" applyAlignment="1">
      <alignment horizontal="center" vertical="center"/>
    </xf>
    <xf numFmtId="20" fontId="0" fillId="2" borderId="6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46" fontId="0" fillId="2" borderId="1" xfId="0" applyNumberFormat="1" applyFont="1" applyFill="1" applyBorder="1" applyAlignment="1">
      <alignment horizontal="center" vertical="center"/>
    </xf>
    <xf numFmtId="46" fontId="0" fillId="2" borderId="3" xfId="0" applyNumberFormat="1" applyFont="1" applyFill="1" applyBorder="1" applyAlignment="1">
      <alignment horizontal="center" vertical="center"/>
    </xf>
    <xf numFmtId="166" fontId="5" fillId="13" borderId="8" xfId="0" applyNumberFormat="1" applyFont="1" applyFill="1" applyBorder="1" applyAlignment="1">
      <alignment horizontal="center" vertical="center"/>
    </xf>
    <xf numFmtId="166" fontId="5" fillId="13" borderId="11" xfId="0" applyNumberFormat="1" applyFont="1" applyFill="1" applyBorder="1" applyAlignment="1">
      <alignment horizontal="center" vertical="center"/>
    </xf>
    <xf numFmtId="14" fontId="5" fillId="13" borderId="9" xfId="0" applyNumberFormat="1" applyFont="1" applyFill="1" applyBorder="1" applyAlignment="1">
      <alignment horizontal="center" vertical="center"/>
    </xf>
    <xf numFmtId="14" fontId="5" fillId="13" borderId="12" xfId="0" applyNumberFormat="1" applyFont="1" applyFill="1" applyBorder="1" applyAlignment="1">
      <alignment horizontal="center" vertical="center"/>
    </xf>
    <xf numFmtId="0" fontId="5" fillId="13" borderId="1" xfId="0" applyNumberFormat="1" applyFont="1" applyFill="1" applyBorder="1" applyAlignment="1" applyProtection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166" fontId="5" fillId="14" borderId="8" xfId="0" applyNumberFormat="1" applyFont="1" applyFill="1" applyBorder="1" applyAlignment="1">
      <alignment horizontal="center" vertical="center"/>
    </xf>
    <xf numFmtId="166" fontId="5" fillId="14" borderId="1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 applyProtection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14" fontId="5" fillId="14" borderId="9" xfId="0" applyNumberFormat="1" applyFont="1" applyFill="1" applyBorder="1" applyAlignment="1">
      <alignment horizontal="center" vertical="center"/>
    </xf>
    <xf numFmtId="14" fontId="5" fillId="14" borderId="12" xfId="0" applyNumberFormat="1" applyFont="1" applyFill="1" applyBorder="1" applyAlignment="1">
      <alignment horizontal="center" vertical="center"/>
    </xf>
    <xf numFmtId="20" fontId="0" fillId="6" borderId="6" xfId="0" applyNumberForma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center" vertical="center"/>
    </xf>
    <xf numFmtId="14" fontId="4" fillId="15" borderId="12" xfId="0" applyNumberFormat="1" applyFont="1" applyFill="1" applyBorder="1" applyAlignment="1">
      <alignment horizontal="center" vertical="center"/>
    </xf>
    <xf numFmtId="14" fontId="6" fillId="15" borderId="9" xfId="0" applyNumberFormat="1" applyFont="1" applyFill="1" applyBorder="1" applyAlignment="1">
      <alignment horizontal="center" vertical="center"/>
    </xf>
    <xf numFmtId="166" fontId="5" fillId="15" borderId="8" xfId="0" applyNumberFormat="1" applyFont="1" applyFill="1" applyBorder="1" applyAlignment="1">
      <alignment horizontal="center" vertical="center"/>
    </xf>
    <xf numFmtId="166" fontId="5" fillId="15" borderId="11" xfId="0" applyNumberFormat="1" applyFont="1" applyFill="1" applyBorder="1" applyAlignment="1">
      <alignment horizontal="center" vertical="center"/>
    </xf>
    <xf numFmtId="0" fontId="5" fillId="15" borderId="1" xfId="0" applyNumberFormat="1" applyFont="1" applyFill="1" applyBorder="1" applyAlignment="1" applyProtection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4" fontId="5" fillId="15" borderId="9" xfId="0" applyNumberFormat="1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164" fontId="10" fillId="0" borderId="0" xfId="0" applyNumberFormat="1" applyFont="1" applyBorder="1"/>
    <xf numFmtId="0" fontId="3" fillId="0" borderId="0" xfId="0" applyFont="1"/>
    <xf numFmtId="164" fontId="0" fillId="6" borderId="6" xfId="0" applyNumberFormat="1" applyFill="1" applyBorder="1"/>
    <xf numFmtId="20" fontId="0" fillId="6" borderId="6" xfId="0" applyNumberFormat="1" applyFill="1" applyBorder="1"/>
    <xf numFmtId="164" fontId="0" fillId="6" borderId="1" xfId="0" applyNumberFormat="1" applyFill="1" applyBorder="1" applyAlignment="1">
      <alignment vertical="center"/>
    </xf>
    <xf numFmtId="20" fontId="0" fillId="6" borderId="1" xfId="0" applyNumberFormat="1" applyFill="1" applyBorder="1" applyAlignment="1">
      <alignment vertical="center"/>
    </xf>
    <xf numFmtId="20" fontId="0" fillId="6" borderId="9" xfId="0" applyNumberFormat="1" applyFill="1" applyBorder="1" applyAlignment="1">
      <alignment vertical="center"/>
    </xf>
    <xf numFmtId="164" fontId="0" fillId="6" borderId="6" xfId="0" applyNumberFormat="1" applyFill="1" applyBorder="1" applyAlignment="1">
      <alignment vertical="center"/>
    </xf>
    <xf numFmtId="20" fontId="0" fillId="6" borderId="7" xfId="0" applyNumberFormat="1" applyFill="1" applyBorder="1" applyAlignment="1">
      <alignment vertical="center"/>
    </xf>
    <xf numFmtId="14" fontId="0" fillId="11" borderId="9" xfId="0" applyNumberFormat="1" applyFill="1" applyBorder="1" applyAlignment="1">
      <alignment horizontal="center" vertical="center"/>
    </xf>
    <xf numFmtId="20" fontId="7" fillId="5" borderId="21" xfId="0" applyNumberFormat="1" applyFont="1" applyFill="1" applyBorder="1" applyAlignment="1">
      <alignment horizontal="left" vertical="center"/>
    </xf>
    <xf numFmtId="20" fontId="7" fillId="5" borderId="24" xfId="0" applyNumberFormat="1" applyFont="1" applyFill="1" applyBorder="1" applyAlignment="1">
      <alignment horizontal="left" vertical="center"/>
    </xf>
    <xf numFmtId="20" fontId="7" fillId="6" borderId="21" xfId="0" applyNumberFormat="1" applyFont="1" applyFill="1" applyBorder="1" applyAlignment="1">
      <alignment horizontal="left" vertical="center"/>
    </xf>
    <xf numFmtId="20" fontId="7" fillId="6" borderId="24" xfId="0" applyNumberFormat="1" applyFont="1" applyFill="1" applyBorder="1" applyAlignment="1">
      <alignment horizontal="left" vertical="center"/>
    </xf>
    <xf numFmtId="20" fontId="7" fillId="7" borderId="21" xfId="0" applyNumberFormat="1" applyFont="1" applyFill="1" applyBorder="1" applyAlignment="1">
      <alignment horizontal="left" vertical="center"/>
    </xf>
    <xf numFmtId="20" fontId="7" fillId="7" borderId="24" xfId="0" applyNumberFormat="1" applyFont="1" applyFill="1" applyBorder="1" applyAlignment="1">
      <alignment horizontal="left" vertical="center"/>
    </xf>
    <xf numFmtId="20" fontId="9" fillId="8" borderId="21" xfId="0" applyNumberFormat="1" applyFont="1" applyFill="1" applyBorder="1" applyAlignment="1">
      <alignment horizontal="left" vertical="center"/>
    </xf>
    <xf numFmtId="20" fontId="9" fillId="8" borderId="24" xfId="0" applyNumberFormat="1" applyFont="1" applyFill="1" applyBorder="1" applyAlignment="1">
      <alignment horizontal="left" vertical="center"/>
    </xf>
    <xf numFmtId="166" fontId="11" fillId="17" borderId="8" xfId="0" applyNumberFormat="1" applyFont="1" applyFill="1" applyBorder="1" applyAlignment="1">
      <alignment horizontal="center" vertical="center"/>
    </xf>
    <xf numFmtId="166" fontId="11" fillId="17" borderId="11" xfId="0" applyNumberFormat="1" applyFont="1" applyFill="1" applyBorder="1" applyAlignment="1">
      <alignment horizontal="center" vertical="center"/>
    </xf>
    <xf numFmtId="14" fontId="11" fillId="17" borderId="9" xfId="0" applyNumberFormat="1" applyFont="1" applyFill="1" applyBorder="1" applyAlignment="1">
      <alignment horizontal="center" vertical="center"/>
    </xf>
    <xf numFmtId="14" fontId="11" fillId="17" borderId="12" xfId="0" applyNumberFormat="1" applyFont="1" applyFill="1" applyBorder="1" applyAlignment="1">
      <alignment horizontal="center" vertical="center"/>
    </xf>
    <xf numFmtId="14" fontId="2" fillId="17" borderId="9" xfId="0" applyNumberFormat="1" applyFont="1" applyFill="1" applyBorder="1" applyAlignment="1">
      <alignment horizontal="center" vertical="center"/>
    </xf>
    <xf numFmtId="0" fontId="3" fillId="17" borderId="1" xfId="0" applyNumberFormat="1" applyFont="1" applyFill="1" applyBorder="1" applyAlignment="1" applyProtection="1">
      <alignment horizontal="center" vertical="center"/>
    </xf>
    <xf numFmtId="0" fontId="11" fillId="17" borderId="1" xfId="0" applyNumberFormat="1" applyFont="1" applyFill="1" applyBorder="1" applyAlignment="1" applyProtection="1">
      <alignment horizontal="center" vertical="center"/>
    </xf>
    <xf numFmtId="0" fontId="11" fillId="17" borderId="9" xfId="0" applyFont="1" applyFill="1" applyBorder="1" applyAlignment="1">
      <alignment horizontal="center" vertical="center"/>
    </xf>
    <xf numFmtId="166" fontId="11" fillId="17" borderId="14" xfId="0" applyNumberFormat="1" applyFont="1" applyFill="1" applyBorder="1" applyAlignment="1">
      <alignment horizontal="center" vertical="center"/>
    </xf>
    <xf numFmtId="14" fontId="11" fillId="17" borderId="15" xfId="0" applyNumberFormat="1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/>
    </xf>
    <xf numFmtId="46" fontId="11" fillId="17" borderId="13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32" xfId="0" applyBorder="1"/>
    <xf numFmtId="16" fontId="0" fillId="0" borderId="33" xfId="0" applyNumberFormat="1" applyBorder="1"/>
    <xf numFmtId="0" fontId="0" fillId="0" borderId="33" xfId="0" applyBorder="1"/>
    <xf numFmtId="0" fontId="0" fillId="0" borderId="34" xfId="0" applyBorder="1"/>
    <xf numFmtId="167" fontId="5" fillId="9" borderId="35" xfId="0" applyNumberFormat="1" applyFont="1" applyFill="1" applyBorder="1" applyAlignment="1">
      <alignment horizontal="center" vertical="center"/>
    </xf>
    <xf numFmtId="166" fontId="0" fillId="11" borderId="36" xfId="0" applyNumberFormat="1" applyFill="1" applyBorder="1" applyAlignment="1">
      <alignment horizontal="center" vertical="center"/>
    </xf>
    <xf numFmtId="166" fontId="0" fillId="6" borderId="36" xfId="0" applyNumberFormat="1" applyFill="1" applyBorder="1" applyAlignment="1">
      <alignment horizontal="center" vertical="center"/>
    </xf>
    <xf numFmtId="166" fontId="5" fillId="9" borderId="36" xfId="0" applyNumberFormat="1" applyFont="1" applyFill="1" applyBorder="1" applyAlignment="1">
      <alignment horizontal="center" vertical="center"/>
    </xf>
    <xf numFmtId="166" fontId="5" fillId="9" borderId="37" xfId="0" applyNumberFormat="1" applyFont="1" applyFill="1" applyBorder="1" applyAlignment="1">
      <alignment horizontal="center" vertical="center"/>
    </xf>
    <xf numFmtId="20" fontId="0" fillId="6" borderId="38" xfId="0" applyNumberFormat="1" applyFill="1" applyBorder="1" applyAlignment="1">
      <alignment vertical="center"/>
    </xf>
    <xf numFmtId="166" fontId="5" fillId="9" borderId="39" xfId="0" applyNumberFormat="1" applyFont="1" applyFill="1" applyBorder="1" applyAlignment="1">
      <alignment horizontal="center" vertical="center"/>
    </xf>
    <xf numFmtId="46" fontId="5" fillId="9" borderId="40" xfId="0" applyNumberFormat="1" applyFont="1" applyFill="1" applyBorder="1" applyAlignment="1" applyProtection="1">
      <alignment horizontal="center" vertical="center"/>
    </xf>
    <xf numFmtId="14" fontId="2" fillId="9" borderId="41" xfId="0" applyNumberFormat="1" applyFont="1" applyFill="1" applyBorder="1" applyAlignment="1">
      <alignment horizontal="center" vertical="center"/>
    </xf>
    <xf numFmtId="164" fontId="0" fillId="6" borderId="42" xfId="0" applyNumberFormat="1" applyFill="1" applyBorder="1"/>
    <xf numFmtId="0" fontId="0" fillId="9" borderId="43" xfId="0" applyFill="1" applyBorder="1" applyAlignment="1">
      <alignment horizontal="center" vertical="center"/>
    </xf>
    <xf numFmtId="20" fontId="0" fillId="6" borderId="42" xfId="0" applyNumberFormat="1" applyFill="1" applyBorder="1"/>
    <xf numFmtId="20" fontId="0" fillId="6" borderId="40" xfId="0" applyNumberFormat="1" applyFill="1" applyBorder="1"/>
    <xf numFmtId="0" fontId="0" fillId="9" borderId="41" xfId="0" applyFill="1" applyBorder="1" applyAlignment="1">
      <alignment horizontal="center" vertical="center"/>
    </xf>
    <xf numFmtId="167" fontId="5" fillId="9" borderId="44" xfId="0" applyNumberFormat="1" applyFont="1" applyFill="1" applyBorder="1" applyAlignment="1">
      <alignment horizontal="center" vertical="center"/>
    </xf>
    <xf numFmtId="166" fontId="5" fillId="9" borderId="45" xfId="0" applyNumberFormat="1" applyFont="1" applyFill="1" applyBorder="1" applyAlignment="1">
      <alignment horizontal="center" vertical="center"/>
    </xf>
    <xf numFmtId="166" fontId="0" fillId="9" borderId="45" xfId="0" applyNumberFormat="1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20" fontId="0" fillId="6" borderId="46" xfId="0" applyNumberFormat="1" applyFill="1" applyBorder="1"/>
    <xf numFmtId="165" fontId="1" fillId="0" borderId="47" xfId="0" applyNumberFormat="1" applyFont="1" applyFill="1" applyBorder="1" applyAlignment="1">
      <alignment horizontal="center" vertical="center"/>
    </xf>
    <xf numFmtId="165" fontId="1" fillId="2" borderId="47" xfId="0" applyNumberFormat="1" applyFon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20" fontId="0" fillId="2" borderId="49" xfId="0" applyNumberFormat="1" applyFill="1" applyBorder="1" applyAlignment="1">
      <alignment vertical="center"/>
    </xf>
    <xf numFmtId="20" fontId="1" fillId="2" borderId="47" xfId="0" applyNumberFormat="1" applyFont="1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167" fontId="5" fillId="12" borderId="35" xfId="0" applyNumberFormat="1" applyFont="1" applyFill="1" applyBorder="1" applyAlignment="1">
      <alignment horizontal="center" vertical="center"/>
    </xf>
    <xf numFmtId="166" fontId="5" fillId="12" borderId="36" xfId="0" applyNumberFormat="1" applyFont="1" applyFill="1" applyBorder="1" applyAlignment="1">
      <alignment horizontal="center" vertical="center"/>
    </xf>
    <xf numFmtId="166" fontId="5" fillId="12" borderId="37" xfId="0" applyNumberFormat="1" applyFont="1" applyFill="1" applyBorder="1" applyAlignment="1">
      <alignment horizontal="center" vertical="center"/>
    </xf>
    <xf numFmtId="46" fontId="5" fillId="12" borderId="40" xfId="0" applyNumberFormat="1" applyFont="1" applyFill="1" applyBorder="1" applyAlignment="1" applyProtection="1">
      <alignment horizontal="center" vertical="center"/>
    </xf>
    <xf numFmtId="14" fontId="5" fillId="12" borderId="41" xfId="0" applyNumberFormat="1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167" fontId="5" fillId="12" borderId="44" xfId="0" applyNumberFormat="1" applyFont="1" applyFill="1" applyBorder="1" applyAlignment="1">
      <alignment horizontal="center" vertical="center"/>
    </xf>
    <xf numFmtId="166" fontId="5" fillId="12" borderId="45" xfId="0" applyNumberFormat="1" applyFont="1" applyFill="1" applyBorder="1" applyAlignment="1">
      <alignment horizontal="center" vertical="center"/>
    </xf>
    <xf numFmtId="0" fontId="5" fillId="12" borderId="47" xfId="0" applyFont="1" applyFill="1" applyBorder="1" applyAlignment="1">
      <alignment horizontal="center" vertical="center"/>
    </xf>
    <xf numFmtId="0" fontId="5" fillId="12" borderId="48" xfId="0" applyFont="1" applyFill="1" applyBorder="1" applyAlignment="1">
      <alignment horizontal="center" vertical="center"/>
    </xf>
    <xf numFmtId="20" fontId="0" fillId="2" borderId="51" xfId="0" applyNumberFormat="1" applyFill="1" applyBorder="1" applyAlignment="1">
      <alignment vertical="center"/>
    </xf>
    <xf numFmtId="0" fontId="5" fillId="12" borderId="50" xfId="0" applyFont="1" applyFill="1" applyBorder="1" applyAlignment="1">
      <alignment horizontal="center" vertical="center"/>
    </xf>
    <xf numFmtId="167" fontId="5" fillId="13" borderId="35" xfId="0" applyNumberFormat="1" applyFont="1" applyFill="1" applyBorder="1" applyAlignment="1">
      <alignment horizontal="center" vertical="center"/>
    </xf>
    <xf numFmtId="166" fontId="5" fillId="13" borderId="36" xfId="0" applyNumberFormat="1" applyFont="1" applyFill="1" applyBorder="1" applyAlignment="1">
      <alignment horizontal="center" vertical="center"/>
    </xf>
    <xf numFmtId="166" fontId="5" fillId="13" borderId="37" xfId="0" applyNumberFormat="1" applyFont="1" applyFill="1" applyBorder="1" applyAlignment="1">
      <alignment horizontal="center" vertical="center"/>
    </xf>
    <xf numFmtId="20" fontId="0" fillId="6" borderId="38" xfId="0" applyNumberFormat="1" applyFont="1" applyFill="1" applyBorder="1" applyAlignment="1">
      <alignment vertical="center"/>
    </xf>
    <xf numFmtId="46" fontId="5" fillId="13" borderId="40" xfId="0" applyNumberFormat="1" applyFont="1" applyFill="1" applyBorder="1" applyAlignment="1" applyProtection="1">
      <alignment horizontal="center" vertical="center"/>
    </xf>
    <xf numFmtId="14" fontId="5" fillId="13" borderId="41" xfId="0" applyNumberFormat="1" applyFont="1" applyFill="1" applyBorder="1" applyAlignment="1">
      <alignment horizontal="center" vertical="center"/>
    </xf>
    <xf numFmtId="0" fontId="5" fillId="13" borderId="43" xfId="0" applyFont="1" applyFill="1" applyBorder="1" applyAlignment="1">
      <alignment horizontal="center" vertical="center"/>
    </xf>
    <xf numFmtId="167" fontId="5" fillId="13" borderId="44" xfId="0" applyNumberFormat="1" applyFont="1" applyFill="1" applyBorder="1" applyAlignment="1">
      <alignment horizontal="center" vertical="center"/>
    </xf>
    <xf numFmtId="166" fontId="5" fillId="13" borderId="45" xfId="0" applyNumberFormat="1" applyFont="1" applyFill="1" applyBorder="1" applyAlignment="1">
      <alignment horizontal="center" vertical="center"/>
    </xf>
    <xf numFmtId="165" fontId="0" fillId="0" borderId="47" xfId="0" applyNumberFormat="1" applyFont="1" applyFill="1" applyBorder="1" applyAlignment="1">
      <alignment horizontal="center" vertical="center"/>
    </xf>
    <xf numFmtId="165" fontId="0" fillId="2" borderId="47" xfId="0" applyNumberFormat="1" applyFont="1" applyFill="1" applyBorder="1" applyAlignment="1">
      <alignment horizontal="center" vertical="center"/>
    </xf>
    <xf numFmtId="0" fontId="5" fillId="13" borderId="47" xfId="0" applyFont="1" applyFill="1" applyBorder="1" applyAlignment="1">
      <alignment horizontal="center" vertical="center"/>
    </xf>
    <xf numFmtId="0" fontId="5" fillId="13" borderId="48" xfId="0" applyFont="1" applyFill="1" applyBorder="1" applyAlignment="1">
      <alignment horizontal="center" vertical="center"/>
    </xf>
    <xf numFmtId="20" fontId="0" fillId="2" borderId="51" xfId="0" applyNumberFormat="1" applyFont="1" applyFill="1" applyBorder="1" applyAlignment="1">
      <alignment vertical="center"/>
    </xf>
    <xf numFmtId="20" fontId="0" fillId="2" borderId="47" xfId="0" applyNumberFormat="1" applyFont="1" applyFill="1" applyBorder="1" applyAlignment="1">
      <alignment horizontal="center" vertical="center"/>
    </xf>
    <xf numFmtId="0" fontId="5" fillId="13" borderId="50" xfId="0" applyFont="1" applyFill="1" applyBorder="1" applyAlignment="1">
      <alignment horizontal="center" vertical="center"/>
    </xf>
    <xf numFmtId="167" fontId="5" fillId="14" borderId="35" xfId="0" applyNumberFormat="1" applyFont="1" applyFill="1" applyBorder="1" applyAlignment="1">
      <alignment horizontal="center" vertical="center"/>
    </xf>
    <xf numFmtId="166" fontId="5" fillId="14" borderId="36" xfId="0" applyNumberFormat="1" applyFont="1" applyFill="1" applyBorder="1" applyAlignment="1">
      <alignment horizontal="center" vertical="center"/>
    </xf>
    <xf numFmtId="166" fontId="5" fillId="14" borderId="39" xfId="0" applyNumberFormat="1" applyFont="1" applyFill="1" applyBorder="1" applyAlignment="1">
      <alignment horizontal="center" vertical="center"/>
    </xf>
    <xf numFmtId="46" fontId="5" fillId="14" borderId="40" xfId="0" applyNumberFormat="1" applyFont="1" applyFill="1" applyBorder="1" applyAlignment="1" applyProtection="1">
      <alignment horizontal="center" vertical="center"/>
    </xf>
    <xf numFmtId="14" fontId="5" fillId="14" borderId="41" xfId="0" applyNumberFormat="1" applyFont="1" applyFill="1" applyBorder="1" applyAlignment="1">
      <alignment horizontal="center" vertical="center"/>
    </xf>
    <xf numFmtId="0" fontId="5" fillId="14" borderId="43" xfId="0" applyFont="1" applyFill="1" applyBorder="1" applyAlignment="1">
      <alignment horizontal="center" vertical="center"/>
    </xf>
    <xf numFmtId="167" fontId="5" fillId="14" borderId="44" xfId="0" applyNumberFormat="1" applyFont="1" applyFill="1" applyBorder="1" applyAlignment="1">
      <alignment horizontal="center" vertical="center"/>
    </xf>
    <xf numFmtId="166" fontId="5" fillId="14" borderId="45" xfId="0" applyNumberFormat="1" applyFont="1" applyFill="1" applyBorder="1" applyAlignment="1">
      <alignment horizontal="center" vertical="center"/>
    </xf>
    <xf numFmtId="167" fontId="5" fillId="15" borderId="44" xfId="0" applyNumberFormat="1" applyFont="1" applyFill="1" applyBorder="1" applyAlignment="1">
      <alignment horizontal="center" vertical="center"/>
    </xf>
    <xf numFmtId="166" fontId="5" fillId="15" borderId="45" xfId="0" applyNumberFormat="1" applyFont="1" applyFill="1" applyBorder="1" applyAlignment="1">
      <alignment horizontal="center" vertical="center"/>
    </xf>
    <xf numFmtId="46" fontId="5" fillId="15" borderId="40" xfId="0" applyNumberFormat="1" applyFont="1" applyFill="1" applyBorder="1" applyAlignment="1" applyProtection="1">
      <alignment horizontal="center" vertical="center"/>
    </xf>
    <xf numFmtId="14" fontId="5" fillId="15" borderId="41" xfId="0" applyNumberFormat="1" applyFont="1" applyFill="1" applyBorder="1" applyAlignment="1">
      <alignment horizontal="center" vertical="center"/>
    </xf>
    <xf numFmtId="0" fontId="5" fillId="15" borderId="43" xfId="0" applyFont="1" applyFill="1" applyBorder="1" applyAlignment="1">
      <alignment horizontal="center" vertical="center"/>
    </xf>
    <xf numFmtId="0" fontId="5" fillId="15" borderId="47" xfId="0" applyFont="1" applyFill="1" applyBorder="1" applyAlignment="1">
      <alignment horizontal="center" vertical="center"/>
    </xf>
    <xf numFmtId="0" fontId="5" fillId="15" borderId="48" xfId="0" applyFont="1" applyFill="1" applyBorder="1" applyAlignment="1">
      <alignment horizontal="center" vertical="center"/>
    </xf>
    <xf numFmtId="0" fontId="5" fillId="15" borderId="50" xfId="0" applyFont="1" applyFill="1" applyBorder="1" applyAlignment="1">
      <alignment horizontal="center" vertical="center"/>
    </xf>
    <xf numFmtId="0" fontId="5" fillId="14" borderId="47" xfId="0" applyFont="1" applyFill="1" applyBorder="1" applyAlignment="1">
      <alignment horizontal="center" vertical="center"/>
    </xf>
    <xf numFmtId="0" fontId="5" fillId="14" borderId="50" xfId="0" applyFont="1" applyFill="1" applyBorder="1" applyAlignment="1">
      <alignment horizontal="center" vertical="center"/>
    </xf>
    <xf numFmtId="166" fontId="0" fillId="15" borderId="36" xfId="0" applyNumberFormat="1" applyFill="1" applyBorder="1" applyAlignment="1">
      <alignment horizontal="center" vertical="center"/>
    </xf>
    <xf numFmtId="166" fontId="5" fillId="15" borderId="36" xfId="0" applyNumberFormat="1" applyFont="1" applyFill="1" applyBorder="1" applyAlignment="1">
      <alignment horizontal="center" vertical="center"/>
    </xf>
    <xf numFmtId="167" fontId="11" fillId="17" borderId="35" xfId="0" applyNumberFormat="1" applyFont="1" applyFill="1" applyBorder="1" applyAlignment="1">
      <alignment horizontal="center" vertical="center"/>
    </xf>
    <xf numFmtId="166" fontId="11" fillId="17" borderId="36" xfId="0" applyNumberFormat="1" applyFont="1" applyFill="1" applyBorder="1" applyAlignment="1">
      <alignment horizontal="center" vertical="center"/>
    </xf>
    <xf numFmtId="166" fontId="11" fillId="17" borderId="39" xfId="0" applyNumberFormat="1" applyFont="1" applyFill="1" applyBorder="1" applyAlignment="1">
      <alignment horizontal="center" vertical="center"/>
    </xf>
    <xf numFmtId="46" fontId="11" fillId="17" borderId="40" xfId="0" applyNumberFormat="1" applyFont="1" applyFill="1" applyBorder="1" applyAlignment="1" applyProtection="1">
      <alignment horizontal="center" vertical="center"/>
    </xf>
    <xf numFmtId="14" fontId="2" fillId="17" borderId="41" xfId="0" applyNumberFormat="1" applyFont="1" applyFill="1" applyBorder="1" applyAlignment="1">
      <alignment horizontal="center" vertical="center"/>
    </xf>
    <xf numFmtId="0" fontId="3" fillId="17" borderId="43" xfId="0" applyFont="1" applyFill="1" applyBorder="1" applyAlignment="1">
      <alignment horizontal="center" vertical="center"/>
    </xf>
    <xf numFmtId="167" fontId="11" fillId="17" borderId="44" xfId="0" applyNumberFormat="1" applyFont="1" applyFill="1" applyBorder="1" applyAlignment="1">
      <alignment horizontal="center" vertical="center"/>
    </xf>
    <xf numFmtId="166" fontId="11" fillId="17" borderId="45" xfId="0" applyNumberFormat="1" applyFont="1" applyFill="1" applyBorder="1" applyAlignment="1">
      <alignment horizontal="center" vertical="center"/>
    </xf>
    <xf numFmtId="166" fontId="0" fillId="2" borderId="45" xfId="0" applyNumberFormat="1" applyFill="1" applyBorder="1" applyAlignment="1">
      <alignment horizontal="center" vertical="center"/>
    </xf>
    <xf numFmtId="14" fontId="0" fillId="2" borderId="41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165" fontId="11" fillId="17" borderId="53" xfId="0" applyNumberFormat="1" applyFont="1" applyFill="1" applyBorder="1" applyAlignment="1">
      <alignment horizontal="center" vertical="center"/>
    </xf>
    <xf numFmtId="165" fontId="1" fillId="2" borderId="51" xfId="0" applyNumberFormat="1" applyFont="1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166" fontId="13" fillId="12" borderId="36" xfId="0" applyNumberFormat="1" applyFont="1" applyFill="1" applyBorder="1" applyAlignment="1">
      <alignment horizontal="center" vertical="center"/>
    </xf>
    <xf numFmtId="166" fontId="13" fillId="12" borderId="39" xfId="0" applyNumberFormat="1" applyFont="1" applyFill="1" applyBorder="1" applyAlignment="1">
      <alignment horizontal="center" vertical="center"/>
    </xf>
    <xf numFmtId="166" fontId="14" fillId="6" borderId="8" xfId="0" applyNumberFormat="1" applyFont="1" applyFill="1" applyBorder="1" applyAlignment="1">
      <alignment horizontal="center" vertical="center"/>
    </xf>
    <xf numFmtId="46" fontId="10" fillId="0" borderId="18" xfId="0" applyNumberFormat="1" applyFont="1" applyFill="1" applyBorder="1" applyAlignment="1">
      <alignment horizontal="center" vertical="center"/>
    </xf>
    <xf numFmtId="46" fontId="0" fillId="0" borderId="0" xfId="0" applyNumberFormat="1" applyFont="1" applyFill="1" applyBorder="1" applyAlignment="1">
      <alignment horizontal="center" vertical="center"/>
    </xf>
    <xf numFmtId="46" fontId="0" fillId="0" borderId="25" xfId="0" applyNumberFormat="1" applyFont="1" applyFill="1" applyBorder="1" applyAlignment="1">
      <alignment horizontal="center" vertical="center"/>
    </xf>
    <xf numFmtId="46" fontId="0" fillId="0" borderId="19" xfId="0" applyNumberFormat="1" applyFont="1" applyFill="1" applyBorder="1" applyAlignment="1">
      <alignment horizontal="center" vertical="center"/>
    </xf>
    <xf numFmtId="46" fontId="0" fillId="0" borderId="54" xfId="0" applyNumberFormat="1" applyFont="1" applyFill="1" applyBorder="1" applyAlignment="1">
      <alignment horizontal="center" vertical="center"/>
    </xf>
    <xf numFmtId="46" fontId="0" fillId="0" borderId="55" xfId="0" applyNumberFormat="1" applyFont="1" applyFill="1" applyBorder="1" applyAlignment="1">
      <alignment horizontal="center" vertical="center"/>
    </xf>
    <xf numFmtId="46" fontId="4" fillId="0" borderId="54" xfId="0" applyNumberFormat="1" applyFont="1" applyFill="1" applyBorder="1" applyAlignment="1">
      <alignment horizontal="center" vertical="center"/>
    </xf>
    <xf numFmtId="46" fontId="10" fillId="0" borderId="54" xfId="0" applyNumberFormat="1" applyFont="1" applyFill="1" applyBorder="1" applyAlignment="1">
      <alignment horizontal="center" vertical="center"/>
    </xf>
    <xf numFmtId="46" fontId="0" fillId="0" borderId="31" xfId="0" applyNumberFormat="1" applyFont="1" applyFill="1" applyBorder="1" applyAlignment="1">
      <alignment horizontal="center" vertical="center"/>
    </xf>
    <xf numFmtId="46" fontId="0" fillId="0" borderId="29" xfId="0" applyNumberFormat="1" applyFont="1" applyFill="1" applyBorder="1" applyAlignment="1">
      <alignment horizontal="center" vertical="center"/>
    </xf>
    <xf numFmtId="49" fontId="0" fillId="0" borderId="30" xfId="0" applyNumberFormat="1" applyFont="1" applyFill="1" applyBorder="1" applyAlignment="1">
      <alignment horizontal="center" vertical="center"/>
    </xf>
    <xf numFmtId="166" fontId="13" fillId="13" borderId="39" xfId="0" applyNumberFormat="1" applyFont="1" applyFill="1" applyBorder="1" applyAlignment="1">
      <alignment horizontal="center" vertical="center"/>
    </xf>
    <xf numFmtId="166" fontId="13" fillId="13" borderId="45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55" xfId="0" applyFont="1" applyFill="1" applyBorder="1" applyAlignment="1">
      <alignment horizontal="center" vertical="center" wrapText="1"/>
    </xf>
    <xf numFmtId="168" fontId="17" fillId="0" borderId="55" xfId="0" applyNumberFormat="1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166" fontId="14" fillId="6" borderId="36" xfId="0" applyNumberFormat="1" applyFont="1" applyFill="1" applyBorder="1" applyAlignment="1">
      <alignment horizontal="center" vertical="center"/>
    </xf>
    <xf numFmtId="166" fontId="0" fillId="6" borderId="36" xfId="0" applyNumberFormat="1" applyFont="1" applyFill="1" applyBorder="1" applyAlignment="1">
      <alignment horizontal="center" vertical="center"/>
    </xf>
    <xf numFmtId="166" fontId="13" fillId="14" borderId="37" xfId="0" applyNumberFormat="1" applyFont="1" applyFill="1" applyBorder="1" applyAlignment="1">
      <alignment horizontal="center" vertical="center"/>
    </xf>
    <xf numFmtId="166" fontId="14" fillId="15" borderId="36" xfId="0" applyNumberFormat="1" applyFont="1" applyFill="1" applyBorder="1" applyAlignment="1">
      <alignment horizontal="center" vertical="center"/>
    </xf>
    <xf numFmtId="166" fontId="13" fillId="15" borderId="39" xfId="0" applyNumberFormat="1" applyFont="1" applyFill="1" applyBorder="1" applyAlignment="1">
      <alignment horizontal="center" vertical="center"/>
    </xf>
    <xf numFmtId="166" fontId="13" fillId="15" borderId="8" xfId="0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29" xfId="0" applyBorder="1"/>
    <xf numFmtId="0" fontId="0" fillId="0" borderId="30" xfId="0" applyBorder="1"/>
    <xf numFmtId="0" fontId="1" fillId="0" borderId="18" xfId="0" applyFont="1" applyBorder="1"/>
    <xf numFmtId="0" fontId="1" fillId="0" borderId="25" xfId="0" applyFont="1" applyBorder="1"/>
    <xf numFmtId="0" fontId="1" fillId="0" borderId="19" xfId="0" applyFont="1" applyBorder="1"/>
    <xf numFmtId="0" fontId="4" fillId="0" borderId="31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17" fillId="0" borderId="30" xfId="0" applyFont="1" applyFill="1" applyBorder="1" applyAlignment="1">
      <alignment horizontal="center" vertical="center" wrapText="1"/>
    </xf>
    <xf numFmtId="46" fontId="12" fillId="0" borderId="18" xfId="0" applyNumberFormat="1" applyFont="1" applyFill="1" applyBorder="1" applyAlignment="1">
      <alignment horizontal="center" vertical="center"/>
    </xf>
    <xf numFmtId="46" fontId="4" fillId="0" borderId="25" xfId="0" applyNumberFormat="1" applyFont="1" applyFill="1" applyBorder="1" applyAlignment="1">
      <alignment horizontal="center" vertical="center"/>
    </xf>
    <xf numFmtId="46" fontId="4" fillId="0" borderId="19" xfId="0" applyNumberFormat="1" applyFont="1" applyFill="1" applyBorder="1" applyAlignment="1">
      <alignment horizontal="center" vertical="center"/>
    </xf>
    <xf numFmtId="46" fontId="12" fillId="0" borderId="31" xfId="0" applyNumberFormat="1" applyFont="1" applyFill="1" applyBorder="1" applyAlignment="1">
      <alignment horizontal="center" vertical="center"/>
    </xf>
    <xf numFmtId="46" fontId="4" fillId="0" borderId="29" xfId="0" applyNumberFormat="1" applyFont="1" applyFill="1" applyBorder="1" applyAlignment="1">
      <alignment horizontal="center" vertical="center"/>
    </xf>
    <xf numFmtId="46" fontId="4" fillId="0" borderId="30" xfId="0" applyNumberFormat="1" applyFont="1" applyFill="1" applyBorder="1" applyAlignment="1">
      <alignment horizontal="center" vertical="center"/>
    </xf>
    <xf numFmtId="166" fontId="18" fillId="17" borderId="37" xfId="0" applyNumberFormat="1" applyFont="1" applyFill="1" applyBorder="1" applyAlignment="1">
      <alignment horizontal="center" vertical="center"/>
    </xf>
    <xf numFmtId="166" fontId="5" fillId="15" borderId="1" xfId="0" applyNumberFormat="1" applyFont="1" applyFill="1" applyBorder="1" applyAlignment="1">
      <alignment horizontal="center" vertical="center"/>
    </xf>
    <xf numFmtId="0" fontId="0" fillId="6" borderId="57" xfId="0" applyFill="1" applyBorder="1"/>
    <xf numFmtId="0" fontId="0" fillId="6" borderId="56" xfId="0" applyFill="1" applyBorder="1"/>
    <xf numFmtId="0" fontId="0" fillId="6" borderId="33" xfId="0" applyFill="1" applyBorder="1"/>
    <xf numFmtId="164" fontId="0" fillId="6" borderId="59" xfId="0" applyNumberFormat="1" applyFill="1" applyBorder="1" applyAlignment="1">
      <alignment vertical="center"/>
    </xf>
    <xf numFmtId="0" fontId="0" fillId="0" borderId="60" xfId="0" applyFill="1" applyBorder="1" applyAlignment="1">
      <alignment horizontal="center" vertical="center"/>
    </xf>
    <xf numFmtId="20" fontId="0" fillId="0" borderId="61" xfId="0" applyNumberFormat="1" applyBorder="1"/>
    <xf numFmtId="20" fontId="0" fillId="6" borderId="62" xfId="0" applyNumberForma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63" xfId="0" applyBorder="1"/>
    <xf numFmtId="20" fontId="0" fillId="0" borderId="60" xfId="0" applyNumberFormat="1" applyFill="1" applyBorder="1" applyAlignment="1">
      <alignment horizontal="center" vertical="center"/>
    </xf>
    <xf numFmtId="20" fontId="0" fillId="0" borderId="2" xfId="0" applyNumberFormat="1" applyFill="1" applyBorder="1" applyAlignment="1">
      <alignment horizontal="center" vertical="center"/>
    </xf>
    <xf numFmtId="164" fontId="0" fillId="6" borderId="13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20" fontId="0" fillId="0" borderId="3" xfId="0" applyNumberFormat="1" applyBorder="1"/>
    <xf numFmtId="0" fontId="0" fillId="0" borderId="3" xfId="0" applyBorder="1"/>
    <xf numFmtId="0" fontId="10" fillId="0" borderId="0" xfId="0" applyFont="1" applyFill="1"/>
    <xf numFmtId="0" fontId="3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0" fontId="0" fillId="0" borderId="0" xfId="0" applyNumberFormat="1" applyFill="1" applyBorder="1"/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4" borderId="56" xfId="0" applyNumberForma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20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ont="1"/>
    <xf numFmtId="0" fontId="7" fillId="5" borderId="23" xfId="0" applyFont="1" applyFill="1" applyBorder="1" applyAlignment="1">
      <alignment horizontal="right" vertical="center"/>
    </xf>
    <xf numFmtId="20" fontId="7" fillId="0" borderId="66" xfId="0" applyNumberFormat="1" applyFont="1" applyBorder="1" applyAlignment="1">
      <alignment horizontal="left"/>
    </xf>
    <xf numFmtId="0" fontId="7" fillId="6" borderId="66" xfId="0" applyFont="1" applyFill="1" applyBorder="1" applyAlignment="1">
      <alignment horizontal="right" vertical="center"/>
    </xf>
    <xf numFmtId="0" fontId="8" fillId="8" borderId="66" xfId="0" applyNumberFormat="1" applyFont="1" applyFill="1" applyBorder="1" applyAlignment="1">
      <alignment horizontal="right" vertical="center"/>
    </xf>
    <xf numFmtId="20" fontId="7" fillId="0" borderId="24" xfId="0" applyNumberFormat="1" applyFont="1" applyBorder="1" applyAlignment="1">
      <alignment horizontal="left"/>
    </xf>
    <xf numFmtId="167" fontId="5" fillId="15" borderId="4" xfId="0" applyNumberFormat="1" applyFont="1" applyFill="1" applyBorder="1" applyAlignment="1">
      <alignment horizontal="center" vertical="center"/>
    </xf>
    <xf numFmtId="166" fontId="0" fillId="4" borderId="8" xfId="0" applyNumberFormat="1" applyFill="1" applyBorder="1" applyAlignment="1">
      <alignment horizontal="center" vertical="center"/>
    </xf>
    <xf numFmtId="166" fontId="10" fillId="15" borderId="11" xfId="0" applyNumberFormat="1" applyFont="1" applyFill="1" applyBorder="1" applyAlignment="1">
      <alignment horizontal="center" vertical="center"/>
    </xf>
    <xf numFmtId="46" fontId="5" fillId="15" borderId="7" xfId="0" applyNumberFormat="1" applyFont="1" applyFill="1" applyBorder="1" applyAlignment="1" applyProtection="1">
      <alignment horizontal="center" vertical="center"/>
    </xf>
    <xf numFmtId="14" fontId="0" fillId="4" borderId="9" xfId="0" applyNumberFormat="1" applyFill="1" applyBorder="1" applyAlignment="1">
      <alignment horizontal="center" vertical="center"/>
    </xf>
    <xf numFmtId="167" fontId="5" fillId="15" borderId="42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5" fillId="15" borderId="10" xfId="0" applyNumberFormat="1" applyFont="1" applyFill="1" applyBorder="1" applyAlignment="1">
      <alignment horizontal="center" vertical="center"/>
    </xf>
    <xf numFmtId="164" fontId="0" fillId="6" borderId="4" xfId="0" applyNumberFormat="1" applyFill="1" applyBorder="1"/>
    <xf numFmtId="165" fontId="0" fillId="4" borderId="65" xfId="0" applyNumberFormat="1" applyFill="1" applyBorder="1" applyAlignment="1">
      <alignment horizontal="center" vertical="center"/>
    </xf>
    <xf numFmtId="0" fontId="0" fillId="15" borderId="11" xfId="0" applyNumberFormat="1" applyFont="1" applyFill="1" applyBorder="1" applyAlignment="1" applyProtection="1">
      <alignment horizontal="center" vertical="center"/>
    </xf>
    <xf numFmtId="0" fontId="0" fillId="15" borderId="10" xfId="0" applyNumberFormat="1" applyFont="1" applyFill="1" applyBorder="1" applyAlignment="1" applyProtection="1">
      <alignment horizontal="center" vertical="center"/>
    </xf>
    <xf numFmtId="20" fontId="0" fillId="6" borderId="7" xfId="0" applyNumberFormat="1" applyFill="1" applyBorder="1"/>
    <xf numFmtId="165" fontId="1" fillId="4" borderId="66" xfId="0" applyNumberFormat="1" applyFont="1" applyFill="1" applyBorder="1" applyAlignment="1">
      <alignment horizontal="center" vertical="center"/>
    </xf>
    <xf numFmtId="0" fontId="0" fillId="15" borderId="12" xfId="0" applyNumberFormat="1" applyFont="1" applyFill="1" applyBorder="1" applyAlignment="1" applyProtection="1">
      <alignment horizontal="center" vertical="center"/>
    </xf>
    <xf numFmtId="0" fontId="3" fillId="2" borderId="67" xfId="0" applyFont="1" applyFill="1" applyBorder="1"/>
    <xf numFmtId="0" fontId="3" fillId="2" borderId="68" xfId="0" applyFont="1" applyFill="1" applyBorder="1"/>
    <xf numFmtId="0" fontId="0" fillId="19" borderId="69" xfId="0" applyFill="1" applyBorder="1" applyAlignment="1">
      <alignment horizontal="center" vertical="center"/>
    </xf>
    <xf numFmtId="0" fontId="0" fillId="19" borderId="52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14" fontId="0" fillId="9" borderId="54" xfId="0" applyNumberFormat="1" applyFill="1" applyBorder="1" applyAlignment="1">
      <alignment horizontal="center" vertical="center"/>
    </xf>
    <xf numFmtId="14" fontId="0" fillId="9" borderId="31" xfId="0" applyNumberFormat="1" applyFill="1" applyBorder="1" applyAlignment="1">
      <alignment horizontal="center" vertical="center"/>
    </xf>
    <xf numFmtId="166" fontId="0" fillId="0" borderId="56" xfId="0" applyNumberFormat="1" applyBorder="1" applyAlignment="1">
      <alignment horizontal="center" vertical="center"/>
    </xf>
    <xf numFmtId="14" fontId="0" fillId="12" borderId="54" xfId="0" applyNumberFormat="1" applyFill="1" applyBorder="1" applyAlignment="1">
      <alignment horizontal="center" vertical="center"/>
    </xf>
    <xf numFmtId="14" fontId="0" fillId="13" borderId="54" xfId="0" applyNumberFormat="1" applyFill="1" applyBorder="1" applyAlignment="1">
      <alignment horizontal="center" vertical="center"/>
    </xf>
    <xf numFmtId="14" fontId="0" fillId="13" borderId="31" xfId="0" applyNumberFormat="1" applyFill="1" applyBorder="1" applyAlignment="1">
      <alignment horizontal="center" vertical="center"/>
    </xf>
    <xf numFmtId="14" fontId="0" fillId="14" borderId="54" xfId="0" applyNumberFormat="1" applyFill="1" applyBorder="1" applyAlignment="1">
      <alignment horizontal="center" vertical="center"/>
    </xf>
    <xf numFmtId="14" fontId="0" fillId="14" borderId="31" xfId="0" applyNumberFormat="1" applyFill="1" applyBorder="1" applyAlignment="1">
      <alignment horizontal="center" vertical="center"/>
    </xf>
    <xf numFmtId="14" fontId="0" fillId="15" borderId="54" xfId="0" applyNumberFormat="1" applyFill="1" applyBorder="1" applyAlignment="1">
      <alignment horizontal="center" vertical="center"/>
    </xf>
    <xf numFmtId="14" fontId="0" fillId="15" borderId="31" xfId="0" applyNumberFormat="1" applyFill="1" applyBorder="1" applyAlignment="1">
      <alignment horizontal="center" vertical="center"/>
    </xf>
    <xf numFmtId="14" fontId="3" fillId="17" borderId="54" xfId="0" applyNumberFormat="1" applyFont="1" applyFill="1" applyBorder="1" applyAlignment="1">
      <alignment horizontal="center" vertical="center"/>
    </xf>
    <xf numFmtId="14" fontId="3" fillId="17" borderId="31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21" fontId="3" fillId="0" borderId="0" xfId="0" applyNumberFormat="1" applyFont="1" applyFill="1" applyBorder="1"/>
    <xf numFmtId="20" fontId="3" fillId="0" borderId="0" xfId="0" applyNumberFormat="1" applyFont="1" applyFill="1" applyBorder="1"/>
    <xf numFmtId="20" fontId="19" fillId="0" borderId="0" xfId="0" applyNumberFormat="1" applyFont="1" applyFill="1" applyBorder="1" applyAlignment="1">
      <alignment horizontal="center" vertical="center"/>
    </xf>
    <xf numFmtId="165" fontId="0" fillId="0" borderId="65" xfId="0" applyNumberFormat="1" applyBorder="1"/>
    <xf numFmtId="165" fontId="0" fillId="0" borderId="21" xfId="0" applyNumberFormat="1" applyBorder="1"/>
    <xf numFmtId="165" fontId="0" fillId="0" borderId="56" xfId="0" applyNumberFormat="1" applyBorder="1"/>
    <xf numFmtId="165" fontId="0" fillId="0" borderId="66" xfId="0" applyNumberFormat="1" applyBorder="1"/>
    <xf numFmtId="165" fontId="0" fillId="0" borderId="2" xfId="0" applyNumberFormat="1" applyBorder="1"/>
    <xf numFmtId="165" fontId="0" fillId="20" borderId="56" xfId="0" applyNumberFormat="1" applyFill="1" applyBorder="1"/>
    <xf numFmtId="165" fontId="0" fillId="20" borderId="22" xfId="0" applyNumberFormat="1" applyFill="1" applyBorder="1"/>
    <xf numFmtId="0" fontId="0" fillId="12" borderId="21" xfId="0" applyFill="1" applyBorder="1"/>
    <xf numFmtId="0" fontId="0" fillId="13" borderId="21" xfId="0" applyFill="1" applyBorder="1"/>
    <xf numFmtId="0" fontId="0" fillId="15" borderId="21" xfId="0" applyFill="1" applyBorder="1"/>
    <xf numFmtId="0" fontId="3" fillId="17" borderId="21" xfId="0" applyFont="1" applyFill="1" applyBorder="1"/>
    <xf numFmtId="0" fontId="0" fillId="14" borderId="21" xfId="0" applyFill="1" applyBorder="1"/>
    <xf numFmtId="0" fontId="10" fillId="0" borderId="13" xfId="0" applyFont="1" applyBorder="1"/>
    <xf numFmtId="0" fontId="10" fillId="0" borderId="0" xfId="0" applyFont="1" applyAlignment="1">
      <alignment horizontal="center" vertical="center"/>
    </xf>
    <xf numFmtId="165" fontId="3" fillId="21" borderId="56" xfId="0" applyNumberFormat="1" applyFont="1" applyFill="1" applyBorder="1"/>
    <xf numFmtId="0" fontId="0" fillId="12" borderId="32" xfId="0" applyFill="1" applyBorder="1"/>
    <xf numFmtId="0" fontId="0" fillId="13" borderId="32" xfId="0" applyFill="1" applyBorder="1"/>
    <xf numFmtId="0" fontId="0" fillId="14" borderId="32" xfId="0" applyFill="1" applyBorder="1"/>
    <xf numFmtId="0" fontId="0" fillId="15" borderId="32" xfId="0" applyFill="1" applyBorder="1"/>
    <xf numFmtId="0" fontId="3" fillId="17" borderId="32" xfId="0" applyFont="1" applyFill="1" applyBorder="1"/>
    <xf numFmtId="166" fontId="0" fillId="20" borderId="56" xfId="0" applyNumberFormat="1" applyFill="1" applyBorder="1" applyAlignment="1">
      <alignment horizontal="center" vertical="center"/>
    </xf>
    <xf numFmtId="166" fontId="3" fillId="21" borderId="56" xfId="0" applyNumberFormat="1" applyFont="1" applyFill="1" applyBorder="1" applyAlignment="1">
      <alignment horizontal="center" vertical="center"/>
    </xf>
    <xf numFmtId="166" fontId="0" fillId="20" borderId="60" xfId="0" applyNumberFormat="1" applyFill="1" applyBorder="1" applyAlignment="1">
      <alignment horizontal="center" vertical="center"/>
    </xf>
    <xf numFmtId="165" fontId="0" fillId="20" borderId="60" xfId="0" applyNumberFormat="1" applyFill="1" applyBorder="1"/>
    <xf numFmtId="166" fontId="0" fillId="0" borderId="65" xfId="0" applyNumberFormat="1" applyBorder="1" applyAlignment="1">
      <alignment horizontal="center" vertical="center"/>
    </xf>
    <xf numFmtId="166" fontId="0" fillId="0" borderId="66" xfId="0" applyNumberFormat="1" applyBorder="1" applyAlignment="1">
      <alignment horizontal="center" vertical="center"/>
    </xf>
    <xf numFmtId="166" fontId="0" fillId="0" borderId="71" xfId="0" applyNumberFormat="1" applyBorder="1" applyAlignment="1">
      <alignment horizontal="center" vertical="center"/>
    </xf>
    <xf numFmtId="165" fontId="0" fillId="0" borderId="22" xfId="0" applyNumberFormat="1" applyBorder="1"/>
    <xf numFmtId="166" fontId="0" fillId="20" borderId="71" xfId="0" applyNumberFormat="1" applyFill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5" fontId="0" fillId="0" borderId="24" xfId="0" applyNumberFormat="1" applyBorder="1"/>
    <xf numFmtId="0" fontId="20" fillId="2" borderId="18" xfId="0" applyFont="1" applyFill="1" applyBorder="1"/>
    <xf numFmtId="21" fontId="20" fillId="2" borderId="25" xfId="0" applyNumberFormat="1" applyFont="1" applyFill="1" applyBorder="1"/>
    <xf numFmtId="21" fontId="20" fillId="2" borderId="19" xfId="0" applyNumberFormat="1" applyFont="1" applyFill="1" applyBorder="1"/>
    <xf numFmtId="0" fontId="20" fillId="2" borderId="31" xfId="0" applyFont="1" applyFill="1" applyBorder="1"/>
    <xf numFmtId="20" fontId="20" fillId="2" borderId="29" xfId="0" applyNumberFormat="1" applyFont="1" applyFill="1" applyBorder="1"/>
    <xf numFmtId="20" fontId="21" fillId="2" borderId="30" xfId="0" applyNumberFormat="1" applyFont="1" applyFill="1" applyBorder="1" applyAlignment="1">
      <alignment horizontal="center" vertical="center"/>
    </xf>
    <xf numFmtId="0" fontId="0" fillId="9" borderId="5" xfId="0" applyFill="1" applyBorder="1"/>
    <xf numFmtId="0" fontId="0" fillId="9" borderId="11" xfId="0" applyFill="1" applyBorder="1"/>
    <xf numFmtId="16" fontId="0" fillId="0" borderId="20" xfId="0" applyNumberFormat="1" applyBorder="1"/>
    <xf numFmtId="20" fontId="0" fillId="0" borderId="21" xfId="0" applyNumberFormat="1" applyBorder="1"/>
    <xf numFmtId="16" fontId="0" fillId="0" borderId="71" xfId="0" applyNumberFormat="1" applyBorder="1"/>
    <xf numFmtId="0" fontId="0" fillId="0" borderId="71" xfId="0" applyBorder="1"/>
    <xf numFmtId="0" fontId="0" fillId="0" borderId="23" xfId="0" applyBorder="1"/>
    <xf numFmtId="0" fontId="0" fillId="0" borderId="0" xfId="0" applyFont="1" applyFill="1" applyBorder="1"/>
    <xf numFmtId="20" fontId="0" fillId="0" borderId="0" xfId="0" applyNumberFormat="1" applyFont="1" applyFill="1" applyBorder="1"/>
    <xf numFmtId="14" fontId="0" fillId="0" borderId="0" xfId="0" applyNumberFormat="1" applyFont="1" applyFill="1" applyBorder="1"/>
    <xf numFmtId="20" fontId="0" fillId="0" borderId="1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20" fontId="10" fillId="0" borderId="0" xfId="0" applyNumberFormat="1" applyFont="1" applyFill="1" applyBorder="1" applyAlignment="1">
      <alignment horizontal="center" vertical="center"/>
    </xf>
    <xf numFmtId="20" fontId="10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0" xfId="0" applyFont="1" applyFill="1" applyBorder="1"/>
    <xf numFmtId="164" fontId="10" fillId="0" borderId="13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Border="1"/>
    <xf numFmtId="166" fontId="0" fillId="0" borderId="72" xfId="0" applyNumberFormat="1" applyBorder="1" applyAlignment="1">
      <alignment horizontal="center" vertical="center"/>
    </xf>
    <xf numFmtId="165" fontId="0" fillId="0" borderId="2" xfId="0" applyNumberFormat="1" applyFill="1" applyBorder="1"/>
    <xf numFmtId="165" fontId="0" fillId="0" borderId="73" xfId="0" applyNumberFormat="1" applyBorder="1"/>
    <xf numFmtId="169" fontId="0" fillId="14" borderId="54" xfId="0" applyNumberFormat="1" applyFill="1" applyBorder="1" applyAlignment="1">
      <alignment horizontal="center" vertical="center"/>
    </xf>
    <xf numFmtId="169" fontId="0" fillId="12" borderId="18" xfId="0" applyNumberFormat="1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169" fontId="0" fillId="15" borderId="18" xfId="0" applyNumberFormat="1" applyFill="1" applyBorder="1" applyAlignment="1">
      <alignment horizontal="center" vertical="center"/>
    </xf>
    <xf numFmtId="169" fontId="3" fillId="17" borderId="18" xfId="0" applyNumberFormat="1" applyFont="1" applyFill="1" applyBorder="1" applyAlignment="1">
      <alignment horizontal="center" vertical="center"/>
    </xf>
    <xf numFmtId="169" fontId="0" fillId="13" borderId="18" xfId="0" applyNumberFormat="1" applyFill="1" applyBorder="1" applyAlignment="1">
      <alignment horizontal="center" vertical="center"/>
    </xf>
    <xf numFmtId="0" fontId="15" fillId="18" borderId="18" xfId="0" applyFont="1" applyFill="1" applyBorder="1" applyAlignment="1">
      <alignment horizontal="center" vertical="center"/>
    </xf>
    <xf numFmtId="0" fontId="15" fillId="18" borderId="25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54" xfId="0" applyFont="1" applyFill="1" applyBorder="1" applyAlignment="1">
      <alignment horizontal="center" vertical="center"/>
    </xf>
    <xf numFmtId="0" fontId="15" fillId="18" borderId="0" xfId="0" applyFont="1" applyFill="1" applyBorder="1" applyAlignment="1">
      <alignment horizontal="center" vertical="center"/>
    </xf>
    <xf numFmtId="0" fontId="15" fillId="18" borderId="5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7" fillId="16" borderId="31" xfId="0" applyFont="1" applyFill="1" applyBorder="1" applyAlignment="1">
      <alignment horizontal="center" vertical="center"/>
    </xf>
    <xf numFmtId="14" fontId="7" fillId="16" borderId="19" xfId="0" applyNumberFormat="1" applyFont="1" applyFill="1" applyBorder="1" applyAlignment="1">
      <alignment horizontal="center" vertical="center"/>
    </xf>
    <xf numFmtId="14" fontId="7" fillId="16" borderId="30" xfId="0" applyNumberFormat="1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20" fontId="5" fillId="15" borderId="14" xfId="0" applyNumberFormat="1" applyFont="1" applyFill="1" applyBorder="1" applyAlignment="1">
      <alignment horizontal="center" vertical="center"/>
    </xf>
    <xf numFmtId="20" fontId="5" fillId="15" borderId="5" xfId="0" applyNumberFormat="1" applyFont="1" applyFill="1" applyBorder="1" applyAlignment="1">
      <alignment horizontal="center" vertical="center"/>
    </xf>
    <xf numFmtId="20" fontId="5" fillId="15" borderId="13" xfId="0" applyNumberFormat="1" applyFont="1" applyFill="1" applyBorder="1" applyAlignment="1">
      <alignment horizontal="center" vertical="center"/>
    </xf>
    <xf numFmtId="20" fontId="5" fillId="15" borderId="3" xfId="0" applyNumberFormat="1" applyFont="1" applyFill="1" applyBorder="1" applyAlignment="1">
      <alignment horizontal="center" vertical="center"/>
    </xf>
    <xf numFmtId="20" fontId="5" fillId="15" borderId="15" xfId="0" applyNumberFormat="1" applyFont="1" applyFill="1" applyBorder="1" applyAlignment="1">
      <alignment horizontal="center" vertical="center"/>
    </xf>
    <xf numFmtId="20" fontId="5" fillId="15" borderId="16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57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14" fontId="0" fillId="0" borderId="60" xfId="0" applyNumberForma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1" fillId="0" borderId="60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6" borderId="64" xfId="0" applyFill="1" applyBorder="1" applyAlignment="1">
      <alignment horizontal="center"/>
    </xf>
    <xf numFmtId="0" fontId="7" fillId="19" borderId="20" xfId="0" applyNumberFormat="1" applyFont="1" applyFill="1" applyBorder="1" applyAlignment="1">
      <alignment horizontal="center"/>
    </xf>
    <xf numFmtId="0" fontId="7" fillId="19" borderId="65" xfId="0" applyNumberFormat="1" applyFont="1" applyFill="1" applyBorder="1" applyAlignment="1">
      <alignment horizontal="center"/>
    </xf>
    <xf numFmtId="0" fontId="7" fillId="19" borderId="21" xfId="0" applyNumberFormat="1" applyFont="1" applyFill="1" applyBorder="1" applyAlignment="1">
      <alignment horizontal="center"/>
    </xf>
    <xf numFmtId="0" fontId="0" fillId="14" borderId="25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3" fillId="17" borderId="25" xfId="0" applyFont="1" applyFill="1" applyBorder="1" applyAlignment="1">
      <alignment horizontal="center" vertical="center"/>
    </xf>
    <xf numFmtId="0" fontId="3" fillId="17" borderId="1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7" fillId="19" borderId="27" xfId="0" applyNumberFormat="1" applyFont="1" applyFill="1" applyBorder="1" applyAlignment="1">
      <alignment horizontal="center"/>
    </xf>
    <xf numFmtId="0" fontId="7" fillId="19" borderId="70" xfId="0" applyNumberFormat="1" applyFont="1" applyFill="1" applyBorder="1" applyAlignment="1">
      <alignment horizontal="center"/>
    </xf>
    <xf numFmtId="0" fontId="7" fillId="19" borderId="28" xfId="0" applyNumberFormat="1" applyFont="1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</cellXfs>
  <cellStyles count="1">
    <cellStyle name="Обычный" xfId="0" builtinId="0"/>
  </cellStyles>
  <dxfs count="319"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  <dxf>
      <font>
        <b val="0"/>
        <i/>
        <color auto="1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8FF98"/>
      <color rgb="FFBDD6EE"/>
      <color rgb="FFC5DE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9CE9-8E5C-487B-B967-C67BC03DD738}">
  <dimension ref="A1:AE166"/>
  <sheetViews>
    <sheetView tabSelected="1" zoomScale="90" zoomScaleNormal="90"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4.140625" style="131" bestFit="1" customWidth="1"/>
    <col min="2" max="2" width="12.28515625" bestFit="1" customWidth="1"/>
    <col min="3" max="3" width="13.42578125" style="9" bestFit="1" customWidth="1"/>
    <col min="4" max="4" width="11.140625" style="9" bestFit="1" customWidth="1"/>
    <col min="5" max="5" width="11.85546875" style="9" bestFit="1" customWidth="1"/>
    <col min="6" max="6" width="11.140625" style="9" bestFit="1" customWidth="1"/>
    <col min="7" max="7" width="11.140625" style="10" bestFit="1" customWidth="1"/>
    <col min="8" max="8" width="12.7109375" style="10" bestFit="1" customWidth="1"/>
    <col min="9" max="9" width="12.5703125" style="10" bestFit="1" customWidth="1"/>
    <col min="10" max="10" width="14" style="35" bestFit="1" customWidth="1"/>
    <col min="11" max="11" width="13.42578125" style="9" bestFit="1" customWidth="1"/>
    <col min="12" max="12" width="11.85546875" style="9" bestFit="1" customWidth="1"/>
    <col min="13" max="13" width="11.140625" style="9" bestFit="1" customWidth="1"/>
    <col min="14" max="14" width="14.28515625" style="9" bestFit="1" customWidth="1"/>
    <col min="15" max="15" width="11.140625" style="9" bestFit="1" customWidth="1"/>
    <col min="16" max="16" width="11.85546875" style="9" bestFit="1" customWidth="1"/>
    <col min="17" max="17" width="12.5703125" style="9" bestFit="1" customWidth="1"/>
    <col min="18" max="19" width="11.140625" bestFit="1" customWidth="1"/>
    <col min="20" max="20" width="6.7109375" customWidth="1"/>
    <col min="21" max="21" width="8.7109375" customWidth="1"/>
    <col min="22" max="23" width="10.140625" customWidth="1"/>
    <col min="24" max="24" width="12.5703125" customWidth="1"/>
    <col min="25" max="25" width="10.140625" customWidth="1"/>
    <col min="26" max="26" width="10.140625" style="327" customWidth="1"/>
    <col min="27" max="27" width="22.7109375" customWidth="1"/>
    <col min="28" max="28" width="16.5703125" customWidth="1"/>
    <col min="29" max="29" width="13.7109375" bestFit="1" customWidth="1"/>
    <col min="30" max="30" width="23.42578125" customWidth="1"/>
    <col min="31" max="31" width="10.7109375" bestFit="1" customWidth="1"/>
  </cols>
  <sheetData>
    <row r="1" spans="1:29" ht="18.75" x14ac:dyDescent="0.3">
      <c r="A1" s="363"/>
      <c r="B1" s="456" t="s">
        <v>10</v>
      </c>
      <c r="C1" s="140">
        <f ca="1">OFFSET($B$4,$J$1+1,$J$2)</f>
        <v>0</v>
      </c>
      <c r="D1" s="466" t="s">
        <v>11</v>
      </c>
      <c r="E1" s="142">
        <f ca="1">OFFSET($B$4,$J$1+2,$J$2)</f>
        <v>0</v>
      </c>
      <c r="F1" s="464" t="s">
        <v>10</v>
      </c>
      <c r="G1" s="144">
        <f ca="1">OFFSET($B$4,$J$1+3,$J$2)</f>
        <v>0</v>
      </c>
      <c r="H1" s="458" t="s">
        <v>12</v>
      </c>
      <c r="I1" s="146">
        <f ca="1">OFFSET($B$4,$J$1+4,$J$2)</f>
        <v>0.36458333333333331</v>
      </c>
      <c r="J1" s="415">
        <f t="array" aca="1" ref="J1" ca="1">MIN(IF(B4:Q165=N1,A4:A165))</f>
        <v>19</v>
      </c>
      <c r="K1" s="416">
        <v>0</v>
      </c>
      <c r="L1" s="417">
        <v>0.29166666666666669</v>
      </c>
      <c r="M1" s="460" t="s">
        <v>13</v>
      </c>
      <c r="N1" s="462">
        <f ca="1">TODAY()</f>
        <v>44404</v>
      </c>
      <c r="O1" s="492" t="s">
        <v>122</v>
      </c>
      <c r="P1" s="493"/>
      <c r="Q1" s="493"/>
      <c r="R1" s="493"/>
      <c r="S1" s="493"/>
      <c r="T1" s="494"/>
      <c r="U1" s="342"/>
      <c r="V1" s="342"/>
      <c r="W1" s="342"/>
      <c r="X1" s="161"/>
      <c r="Y1" s="161"/>
      <c r="Z1" s="323"/>
      <c r="AA1" s="161"/>
      <c r="AB1" s="161"/>
      <c r="AC1" s="161"/>
    </row>
    <row r="2" spans="1:29" ht="19.5" thickBot="1" x14ac:dyDescent="0.35">
      <c r="A2" s="364"/>
      <c r="B2" s="457"/>
      <c r="C2" s="141">
        <v>0.375</v>
      </c>
      <c r="D2" s="467"/>
      <c r="E2" s="143">
        <v>0.52083333333333337</v>
      </c>
      <c r="F2" s="465"/>
      <c r="G2" s="145">
        <v>0.58333333333333337</v>
      </c>
      <c r="H2" s="459"/>
      <c r="I2" s="147">
        <f>L2+C2+(G2-E2)</f>
        <v>0.77083333333333326</v>
      </c>
      <c r="J2" s="418">
        <f t="array" aca="1" ref="J2" ca="1">MIN(IF(B4:Q165=N1,B3:Q3))</f>
        <v>1</v>
      </c>
      <c r="K2" s="419">
        <v>3.125E-2</v>
      </c>
      <c r="L2" s="420">
        <v>0.33333333333333331</v>
      </c>
      <c r="M2" s="461"/>
      <c r="N2" s="463"/>
      <c r="O2" s="343" t="s">
        <v>10</v>
      </c>
      <c r="P2" s="344">
        <v>0.4375</v>
      </c>
      <c r="Q2" s="345" t="s">
        <v>123</v>
      </c>
      <c r="R2" s="344">
        <v>0.52083333333333337</v>
      </c>
      <c r="S2" s="346" t="s">
        <v>124</v>
      </c>
      <c r="T2" s="347">
        <f>R2-P2</f>
        <v>8.333333333333337E-2</v>
      </c>
      <c r="U2" s="342"/>
      <c r="V2" s="342"/>
      <c r="W2" s="342"/>
      <c r="X2" s="161"/>
      <c r="Y2" s="161"/>
      <c r="Z2" s="323"/>
      <c r="AA2" s="161"/>
      <c r="AB2" s="161"/>
      <c r="AC2" s="161"/>
    </row>
    <row r="3" spans="1:29" s="44" customFormat="1" ht="24.75" customHeight="1" thickBot="1" x14ac:dyDescent="0.3">
      <c r="B3" s="120">
        <v>0</v>
      </c>
      <c r="C3" s="120">
        <v>1</v>
      </c>
      <c r="D3" s="120">
        <v>2</v>
      </c>
      <c r="E3" s="120">
        <v>3</v>
      </c>
      <c r="F3" s="120">
        <v>4</v>
      </c>
      <c r="G3" s="120">
        <v>5</v>
      </c>
      <c r="H3" s="120">
        <v>6</v>
      </c>
      <c r="I3" s="120">
        <v>7</v>
      </c>
      <c r="J3" s="120">
        <v>8</v>
      </c>
      <c r="K3" s="120">
        <v>9</v>
      </c>
      <c r="L3" s="120">
        <v>10</v>
      </c>
      <c r="M3" s="120">
        <v>11</v>
      </c>
      <c r="N3" s="120">
        <v>12</v>
      </c>
      <c r="O3" s="120">
        <v>13</v>
      </c>
      <c r="P3" s="120">
        <v>14</v>
      </c>
      <c r="Q3" s="120">
        <v>15</v>
      </c>
      <c r="R3" s="43"/>
      <c r="Z3" s="324"/>
      <c r="AC3" s="130"/>
    </row>
    <row r="4" spans="1:29" ht="16.5" thickTop="1" thickBot="1" x14ac:dyDescent="0.3">
      <c r="A4" s="131">
        <v>0</v>
      </c>
      <c r="B4" s="166" t="s">
        <v>8</v>
      </c>
      <c r="C4" s="167"/>
      <c r="D4" s="168" t="s">
        <v>25</v>
      </c>
      <c r="E4" s="168" t="s">
        <v>26</v>
      </c>
      <c r="F4" s="168" t="s">
        <v>27</v>
      </c>
      <c r="G4" s="168" t="s">
        <v>28</v>
      </c>
      <c r="H4" s="169" t="s">
        <v>29</v>
      </c>
      <c r="I4" s="170" t="s">
        <v>30</v>
      </c>
      <c r="J4" s="171"/>
      <c r="K4" s="168" t="s">
        <v>31</v>
      </c>
      <c r="L4" s="168" t="s">
        <v>25</v>
      </c>
      <c r="M4" s="168" t="s">
        <v>26</v>
      </c>
      <c r="N4" s="168" t="s">
        <v>27</v>
      </c>
      <c r="O4" s="168" t="s">
        <v>28</v>
      </c>
      <c r="P4" s="169" t="s">
        <v>29</v>
      </c>
      <c r="Q4" s="172" t="s">
        <v>30</v>
      </c>
      <c r="R4" s="468" t="s">
        <v>16</v>
      </c>
      <c r="S4" s="468"/>
      <c r="T4" s="470" t="s">
        <v>17</v>
      </c>
      <c r="U4" s="471"/>
      <c r="V4" s="480" t="s">
        <v>117</v>
      </c>
      <c r="W4" s="481"/>
      <c r="X4" s="481"/>
      <c r="Y4" s="482"/>
      <c r="Z4" s="325"/>
    </row>
    <row r="5" spans="1:29" ht="15.75" thickBot="1" x14ac:dyDescent="0.3">
      <c r="A5" s="131">
        <v>1</v>
      </c>
      <c r="B5" s="173" t="s">
        <v>5</v>
      </c>
      <c r="C5" s="139">
        <v>44376</v>
      </c>
      <c r="D5" s="67">
        <v>44377</v>
      </c>
      <c r="E5" s="67">
        <v>44378</v>
      </c>
      <c r="F5" s="67">
        <v>44379</v>
      </c>
      <c r="G5" s="67">
        <v>44380</v>
      </c>
      <c r="H5" s="1">
        <v>44381</v>
      </c>
      <c r="I5" s="4">
        <v>44382</v>
      </c>
      <c r="J5" s="69"/>
      <c r="K5" s="67">
        <v>44383</v>
      </c>
      <c r="L5" s="67">
        <v>44384</v>
      </c>
      <c r="M5" s="67">
        <v>44385</v>
      </c>
      <c r="N5" s="67">
        <v>44386</v>
      </c>
      <c r="O5" s="67">
        <v>44387</v>
      </c>
      <c r="P5" s="47">
        <v>44388</v>
      </c>
      <c r="Q5" s="174">
        <v>44389</v>
      </c>
      <c r="R5" s="162" t="s">
        <v>14</v>
      </c>
      <c r="S5" s="63" t="s">
        <v>15</v>
      </c>
      <c r="T5" s="64" t="s">
        <v>19</v>
      </c>
      <c r="U5" s="65" t="s">
        <v>18</v>
      </c>
      <c r="V5" s="308"/>
      <c r="W5" s="309" t="s">
        <v>15</v>
      </c>
      <c r="X5" s="310" t="s">
        <v>14</v>
      </c>
      <c r="Y5" s="310" t="s">
        <v>118</v>
      </c>
      <c r="Z5" s="326"/>
    </row>
    <row r="6" spans="1:29" x14ac:dyDescent="0.25">
      <c r="A6" s="131">
        <v>2</v>
      </c>
      <c r="B6" s="175" t="s">
        <v>0</v>
      </c>
      <c r="C6" s="12"/>
      <c r="D6" s="12"/>
      <c r="E6" s="26"/>
      <c r="F6" s="12"/>
      <c r="G6" s="12"/>
      <c r="H6" s="48"/>
      <c r="I6" s="48"/>
      <c r="J6" s="134" t="s">
        <v>0</v>
      </c>
      <c r="K6" s="11"/>
      <c r="L6" s="11"/>
      <c r="M6" s="14"/>
      <c r="N6" s="14"/>
      <c r="O6" s="14"/>
      <c r="P6" s="48"/>
      <c r="Q6" s="176"/>
      <c r="R6" s="163"/>
      <c r="S6" s="59"/>
      <c r="T6" s="56"/>
      <c r="V6" s="311" t="s">
        <v>0</v>
      </c>
      <c r="W6" s="317"/>
      <c r="X6" s="483"/>
      <c r="Y6" s="486">
        <f>W7-W6</f>
        <v>0</v>
      </c>
    </row>
    <row r="7" spans="1:29" x14ac:dyDescent="0.25">
      <c r="A7" s="131">
        <v>3</v>
      </c>
      <c r="B7" s="177" t="s">
        <v>1</v>
      </c>
      <c r="C7" s="11"/>
      <c r="D7" s="11"/>
      <c r="E7" s="13"/>
      <c r="F7" s="11"/>
      <c r="G7" s="11"/>
      <c r="H7" s="48"/>
      <c r="I7" s="48"/>
      <c r="J7" s="135" t="s">
        <v>1</v>
      </c>
      <c r="K7" s="11"/>
      <c r="L7" s="11"/>
      <c r="M7" s="14"/>
      <c r="N7" s="14"/>
      <c r="O7" s="14"/>
      <c r="P7" s="48"/>
      <c r="Q7" s="176"/>
      <c r="R7" s="163"/>
      <c r="S7" s="59"/>
      <c r="T7" s="56"/>
      <c r="V7" s="314" t="s">
        <v>1</v>
      </c>
      <c r="W7" s="318"/>
      <c r="X7" s="484"/>
      <c r="Y7" s="487"/>
    </row>
    <row r="8" spans="1:29" x14ac:dyDescent="0.25">
      <c r="A8" s="131">
        <v>4</v>
      </c>
      <c r="B8" s="175" t="s">
        <v>0</v>
      </c>
      <c r="C8" s="11"/>
      <c r="D8" s="11"/>
      <c r="E8" s="13"/>
      <c r="F8" s="11"/>
      <c r="G8" s="11"/>
      <c r="H8" s="48"/>
      <c r="I8" s="48"/>
      <c r="J8" s="134" t="s">
        <v>0</v>
      </c>
      <c r="K8" s="11"/>
      <c r="L8" s="11"/>
      <c r="M8" s="14"/>
      <c r="N8" s="14"/>
      <c r="O8" s="14"/>
      <c r="P8" s="48"/>
      <c r="Q8" s="176"/>
      <c r="R8" s="163"/>
      <c r="S8" s="59"/>
      <c r="T8" s="56"/>
      <c r="V8" s="311" t="s">
        <v>0</v>
      </c>
      <c r="W8" s="317"/>
      <c r="X8" s="483"/>
      <c r="Y8" s="486">
        <f t="shared" ref="Y8" si="0">W9-W8</f>
        <v>0</v>
      </c>
    </row>
    <row r="9" spans="1:29" x14ac:dyDescent="0.25">
      <c r="A9" s="131">
        <v>5</v>
      </c>
      <c r="B9" s="177" t="s">
        <v>1</v>
      </c>
      <c r="C9" s="331">
        <f ca="1">IF(OR((C8-C7)&gt;$K$2,IFERROR(OFFSET($Y$5,MATCH(C5,$X$6:$X$29,0),0),$K$1)&gt;$K$2),$L$2+C6+(C8-C7) + IFERROR(OFFSET($Y$5,MATCH(C5,$X$6:$X$29,0),0),$K$1),$L$2+C6+$K$2)</f>
        <v>0.36458333333333331</v>
      </c>
      <c r="D9" s="331">
        <f ca="1">IF(OR((D8-D7)&gt;$K$2,IFERROR(OFFSET($Y$5,MATCH(D5,$X$6:$X$29,0),0),$K$1)&gt;$K$2),$L$2+D6+(D8-D7) + IFERROR(OFFSET($Y$5,MATCH(D5,$X$6:$X$29,0),0),$K$1),$L$2+D6+$K$2)</f>
        <v>0.36458333333333331</v>
      </c>
      <c r="E9" s="331">
        <f ca="1">IF(OR((E8-E7)&gt;$K$2,IFERROR(OFFSET($Y$5,MATCH(E5,$X$6:$X$29,0),0),$K$1)&gt;$K$2),$L$2+E6+(E8-E7) + IFERROR(OFFSET($Y$5,MATCH(E5,$X$6:$X$29,0),0),$K$1),$L$2+E6+$K$2)</f>
        <v>0.36458333333333331</v>
      </c>
      <c r="F9" s="331">
        <f ca="1">IF(OR((F8-F7)&gt;$K$2,IFERROR(OFFSET($Y$5,MATCH(F5,$X$6:$X$29,0),0),$K$1)&gt;$K$2),$L$2+F6+(F8-F7) + IFERROR(OFFSET($Y$5,MATCH(F5,$X$6:$X$29,0),0),$K$1),$L$2+F6+$K$2)</f>
        <v>0.36458333333333331</v>
      </c>
      <c r="G9" s="331">
        <f ca="1">IF(OR((G8-G7)&gt;$K$2,IFERROR(OFFSET($Y$5,MATCH(G5,$X$6:$X$29,0),0),$K$1)&gt;$K$2),$L$2+G6+(G8-G7) + IFERROR(OFFSET($Y$5,MATCH(G5,$X$6:$X$29,0),0),$K$1),$L$2+G6+$K$2)</f>
        <v>0.36458333333333331</v>
      </c>
      <c r="H9" s="48"/>
      <c r="I9" s="48"/>
      <c r="J9" s="135" t="s">
        <v>1</v>
      </c>
      <c r="K9" s="331">
        <f ca="1">IF(OR((K8-K7)&gt;$K$2,IFERROR(OFFSET($Y$5,MATCH(K5,$X$6:$X$29,0),0),$K$1)&gt;$K$2),$L$2+K6+(K8-K7) + IFERROR(OFFSET($Y$5,MATCH(K5,$X$6:$X$29,0),0),$K$1),$L$2+K6+$K$2)</f>
        <v>0.36458333333333331</v>
      </c>
      <c r="L9" s="331">
        <f ca="1">IF(OR((L8-L7)&gt;$K$2,IFERROR(OFFSET($Y$5,MATCH(L5,$X$6:$X$29,0),0),$K$1)&gt;$K$2),$L$2+L6+(L8-L7) + IFERROR(OFFSET($Y$5,MATCH(L5,$X$6:$X$29,0),0),$K$1),$L$2+L6+$K$2)</f>
        <v>0.36458333333333331</v>
      </c>
      <c r="M9" s="331">
        <f ca="1">IF(OR((M8-M7)&gt;$K$2,IFERROR(OFFSET($Y$5,MATCH(M5,$X$6:$X$29,0),0),$K$1)&gt;$K$2),$L$2+M6+(M8-M7) + IFERROR(OFFSET($Y$5,MATCH(M5,$X$6:$X$29,0),0),$K$1),$L$2+M6+$K$2)</f>
        <v>0.36458333333333331</v>
      </c>
      <c r="N9" s="331">
        <f ca="1">IF(OR((N8-N7)&gt;$K$2,IFERROR(OFFSET($Y$5,MATCH(N5,$X$6:$X$29,0),0),$K$1)&gt;$K$2),$L$2+N6+(N8-N7) + IFERROR(OFFSET($Y$5,MATCH(N5,$X$6:$X$29,0),0),$K$1),$L$2+N6+$K$2)</f>
        <v>0.36458333333333331</v>
      </c>
      <c r="O9" s="331">
        <f ca="1">IF(OR((O8-O7)&gt;$K$2,IFERROR(OFFSET($Y$5,MATCH(O5,$X$6:$X$29,0),0),$K$1)&gt;$K$2),$L$2+O6+(O8-O7) + IFERROR(OFFSET($Y$5,MATCH(O5,$X$6:$X$29,0),0),$K$1),$L$2+O6+$K$2)</f>
        <v>0.36458333333333331</v>
      </c>
      <c r="P9" s="48"/>
      <c r="Q9" s="176"/>
      <c r="R9" s="163"/>
      <c r="S9" s="59"/>
      <c r="T9" s="56"/>
      <c r="V9" s="314" t="s">
        <v>1</v>
      </c>
      <c r="W9" s="318"/>
      <c r="X9" s="484"/>
      <c r="Y9" s="487"/>
    </row>
    <row r="10" spans="1:29" x14ac:dyDescent="0.25">
      <c r="A10" s="131">
        <v>6</v>
      </c>
      <c r="B10" s="177" t="s">
        <v>2</v>
      </c>
      <c r="C10" s="332">
        <f ca="1">IF(COUNT(C6,C7,C8)&gt;0,IF(OR((C8-C7)&gt;$K$2,IFERROR(OFFSET($Y$5,MATCH(C5,$X$6:$X$29,0),0),$K$1)&gt;$K$2),((C9-C6)-(C8-C7))-IFERROR(OFFSET($Y$5,MATCH(C5,$X$6:$X$29,0),0),$K$1),((C9-C6-$K$2))),$K$1)</f>
        <v>0</v>
      </c>
      <c r="D10" s="332">
        <f ca="1">IF(COUNT(D6,D7,D8)&gt;0,IF(OR((D8-D7)&gt;$K$2,IFERROR(OFFSET($Y$5,MATCH(D5,$X$6:$X$29,0),0),$K$1)&gt;$K$2),((D9-D6)-(D8-D7))-IFERROR(OFFSET($Y$5,MATCH(D5,$X$6:$X$29,0),0),$K$1),((D9-D6-$K$2))),$K$1)</f>
        <v>0</v>
      </c>
      <c r="E10" s="332">
        <f ca="1">IF(COUNT(E6,E7,E8)&gt;0,IF(OR((E8-E7)&gt;$K$2,IFERROR(OFFSET($Y$5,MATCH(E5,$X$6:$X$29,0),0),$K$1)&gt;$K$2),((E9-E6)-(E8-E7))-IFERROR(OFFSET($Y$5,MATCH(E5,$X$6:$X$29,0),0),$K$1),((E9-E6-$K$2))),$K$1)</f>
        <v>0</v>
      </c>
      <c r="F10" s="332">
        <f ca="1">IF(COUNT(F6,F7,F8)&gt;0,IF(OR((F8-F7)&gt;$K$2,IFERROR(OFFSET($Y$5,MATCH(F5,$X$6:$X$29,0),0),$K$1)&gt;$K$2),((F9-F6)-(F8-F7))-IFERROR(OFFSET($Y$5,MATCH(F5,$X$6:$X$29,0),0),$K$1),((F9-F6-$K$2))),$K$1)</f>
        <v>0</v>
      </c>
      <c r="G10" s="332">
        <f ca="1">IF(COUNT(G6,G7,G8)&gt;0,IF(OR((G8-G7)&gt;$K$2,IFERROR(OFFSET($Y$5,MATCH(G5,$X$6:$X$29,0),0),$K$1)&gt;$K$2),((G9-G6)-(G8-G7))-IFERROR(OFFSET($Y$5,MATCH(G5,$X$6:$X$29,0),0),$K$1),((G9-G6-$K$2))),$K$1)</f>
        <v>0</v>
      </c>
      <c r="H10" s="48"/>
      <c r="I10" s="48"/>
      <c r="J10" s="135" t="s">
        <v>2</v>
      </c>
      <c r="K10" s="332">
        <f ca="1">IF(COUNT(K6,K7,K8)&gt;0,IF(OR((K8-K7)&gt;$K$2,IFERROR(OFFSET($Y$5,MATCH(K5,$X$6:$X$29,0),0),$K$1)&gt;$K$2),((K9-K6)-(K8-K7))-IFERROR(OFFSET($Y$5,MATCH(K5,$X$6:$X$29,0),0),$K$1),((K9-K6-$K$2))),$K$1)</f>
        <v>0</v>
      </c>
      <c r="L10" s="332">
        <f ca="1">IF(COUNT(L6,L7,L8)&gt;0,IF(OR((L8-L7)&gt;$K$2,IFERROR(OFFSET($Y$5,MATCH(L5,$X$6:$X$29,0),0),$K$1)&gt;$K$2),((L9-L6)-(L8-L7))-IFERROR(OFFSET($Y$5,MATCH(L5,$X$6:$X$29,0),0),$K$1),((L9-L6-$K$2))),$K$1)</f>
        <v>0</v>
      </c>
      <c r="M10" s="332">
        <f ca="1">IF(COUNT(M6,M7,M8)&gt;0,IF(OR((M8-M7)&gt;$K$2,IFERROR(OFFSET($Y$5,MATCH(M5,$X$6:$X$29,0),0),$K$1)&gt;$K$2),((M9-M6)-(M8-M7))-IFERROR(OFFSET($Y$5,MATCH(M5,$X$6:$X$29,0),0),$K$1),((M9-M6-$K$2))),$K$1)</f>
        <v>0</v>
      </c>
      <c r="N10" s="332">
        <f ca="1">IF(COUNT(N6,N7,N8)&gt;0,IF(OR((N8-N7)&gt;$K$2,IFERROR(OFFSET($Y$5,MATCH(N5,$X$6:$X$29,0),0),$K$1)&gt;$K$2),((N9-N6)-(N8-N7))-IFERROR(OFFSET($Y$5,MATCH(N5,$X$6:$X$29,0),0),$K$1),((N9-N6-$K$2))),$K$1)</f>
        <v>0</v>
      </c>
      <c r="O10" s="332">
        <f ca="1">IF(COUNT(O6,O7,O8)&gt;0,IF(OR((O8-O7)&gt;$K$2,IFERROR(OFFSET($Y$5,MATCH(O5,$X$6:$X$29,0),0),$K$1)&gt;$K$2),((O9-O6)-(O8-O7))-IFERROR(OFFSET($Y$5,MATCH(O5,$X$6:$X$29,0),0),$K$1),((O9-O6-$K$2))),$K$1)</f>
        <v>0</v>
      </c>
      <c r="P10" s="48"/>
      <c r="Q10" s="176"/>
      <c r="R10" s="163"/>
      <c r="S10" s="59"/>
      <c r="T10" s="56"/>
      <c r="V10" s="311" t="s">
        <v>0</v>
      </c>
      <c r="W10" s="317"/>
      <c r="X10" s="483"/>
      <c r="Y10" s="486">
        <f t="shared" ref="Y10" si="1">W11-W10</f>
        <v>0</v>
      </c>
    </row>
    <row r="11" spans="1:29" x14ac:dyDescent="0.25">
      <c r="A11" s="131">
        <v>7</v>
      </c>
      <c r="B11" s="177" t="s">
        <v>3</v>
      </c>
      <c r="C11" s="332">
        <f ca="1">IFERROR(C10+OFFSET($S$5,MATCH(C5,$R$6:$R$30,0),0)-$L$2,C10-$L$2)</f>
        <v>-0.33333333333333331</v>
      </c>
      <c r="D11" s="332">
        <f t="shared" ref="D11:G11" ca="1" si="2">IFERROR(D10+OFFSET($S$5,MATCH(D5,$R$6:$R$30,0),0)-$L$2,D10-$L$2)</f>
        <v>-0.33333333333333331</v>
      </c>
      <c r="E11" s="332">
        <f t="shared" ca="1" si="2"/>
        <v>-0.33333333333333331</v>
      </c>
      <c r="F11" s="332">
        <f t="shared" ca="1" si="2"/>
        <v>-0.33333333333333331</v>
      </c>
      <c r="G11" s="332">
        <f t="shared" ca="1" si="2"/>
        <v>-0.33333333333333331</v>
      </c>
      <c r="H11" s="48"/>
      <c r="I11" s="48"/>
      <c r="J11" s="135" t="s">
        <v>3</v>
      </c>
      <c r="K11" s="332">
        <f t="shared" ref="K11:O11" ca="1" si="3">IFERROR(K10+OFFSET($S$5,MATCH(K5,$R$6:$R$30,0),0)-$L$2,K10-$L$2)</f>
        <v>-0.33333333333333331</v>
      </c>
      <c r="L11" s="332">
        <f t="shared" ca="1" si="3"/>
        <v>-0.33333333333333331</v>
      </c>
      <c r="M11" s="332">
        <f t="shared" ca="1" si="3"/>
        <v>-0.33333333333333331</v>
      </c>
      <c r="N11" s="332">
        <f t="shared" ca="1" si="3"/>
        <v>-0.33333333333333331</v>
      </c>
      <c r="O11" s="332">
        <f t="shared" ca="1" si="3"/>
        <v>-0.33333333333333331</v>
      </c>
      <c r="P11" s="48"/>
      <c r="Q11" s="176"/>
      <c r="R11" s="163"/>
      <c r="S11" s="59"/>
      <c r="T11" s="56"/>
      <c r="V11" s="314" t="s">
        <v>1</v>
      </c>
      <c r="W11" s="318"/>
      <c r="X11" s="484"/>
      <c r="Y11" s="487"/>
    </row>
    <row r="12" spans="1:29" ht="15.75" thickBot="1" x14ac:dyDescent="0.3">
      <c r="A12" s="131">
        <v>8</v>
      </c>
      <c r="B12" s="178" t="s">
        <v>4</v>
      </c>
      <c r="C12" s="22">
        <f ca="1">C11</f>
        <v>-0.33333333333333331</v>
      </c>
      <c r="D12" s="15">
        <f ca="1">D11</f>
        <v>-0.33333333333333331</v>
      </c>
      <c r="E12" s="15">
        <f t="shared" ref="E12" ca="1" si="4">D12+E11</f>
        <v>-0.66666666666666663</v>
      </c>
      <c r="F12" s="15">
        <f t="shared" ref="F12" ca="1" si="5">E12+F11</f>
        <v>-1</v>
      </c>
      <c r="G12" s="15">
        <f t="shared" ref="G12" ca="1" si="6">F12+G11</f>
        <v>-1.3333333333333333</v>
      </c>
      <c r="H12" s="55"/>
      <c r="I12" s="55"/>
      <c r="J12" s="136" t="s">
        <v>4</v>
      </c>
      <c r="K12" s="15">
        <f ca="1">K11+G12</f>
        <v>-1.6666666666666665</v>
      </c>
      <c r="L12" s="15">
        <f ca="1">K12+L11</f>
        <v>-1.9999999999999998</v>
      </c>
      <c r="M12" s="15">
        <f t="shared" ref="M12" ca="1" si="7">L12+M11</f>
        <v>-2.333333333333333</v>
      </c>
      <c r="N12" s="15">
        <f t="shared" ref="N12" ca="1" si="8">M12+N11</f>
        <v>-2.6666666666666665</v>
      </c>
      <c r="O12" s="15">
        <f ca="1">N12+O11</f>
        <v>-3</v>
      </c>
      <c r="P12" s="55"/>
      <c r="Q12" s="179"/>
      <c r="R12" s="163"/>
      <c r="S12" s="59"/>
      <c r="T12" s="56"/>
      <c r="V12" s="319" t="s">
        <v>0</v>
      </c>
      <c r="W12" s="339"/>
      <c r="X12" s="485"/>
      <c r="Y12" s="486">
        <f t="shared" ref="Y12" si="9">W13-W12</f>
        <v>0</v>
      </c>
    </row>
    <row r="13" spans="1:29" x14ac:dyDescent="0.25">
      <c r="A13" s="131">
        <v>9</v>
      </c>
      <c r="B13" s="180" t="s">
        <v>8</v>
      </c>
      <c r="C13" s="66" t="s">
        <v>31</v>
      </c>
      <c r="D13" s="66" t="s">
        <v>25</v>
      </c>
      <c r="E13" s="66" t="s">
        <v>26</v>
      </c>
      <c r="F13" s="66" t="s">
        <v>27</v>
      </c>
      <c r="G13" s="66" t="s">
        <v>28</v>
      </c>
      <c r="H13" s="71" t="s">
        <v>29</v>
      </c>
      <c r="I13" s="72" t="s">
        <v>30</v>
      </c>
      <c r="J13" s="68"/>
      <c r="K13" s="66" t="s">
        <v>31</v>
      </c>
      <c r="L13" s="66" t="s">
        <v>25</v>
      </c>
      <c r="M13" s="66" t="s">
        <v>26</v>
      </c>
      <c r="N13" s="66" t="s">
        <v>27</v>
      </c>
      <c r="O13" s="66" t="s">
        <v>28</v>
      </c>
      <c r="P13" s="71" t="s">
        <v>29</v>
      </c>
      <c r="Q13" s="181" t="s">
        <v>30</v>
      </c>
      <c r="R13" s="163"/>
      <c r="S13" s="59"/>
      <c r="T13" s="56"/>
      <c r="V13" s="314" t="s">
        <v>1</v>
      </c>
      <c r="W13" s="339"/>
      <c r="X13" s="485"/>
      <c r="Y13" s="487"/>
    </row>
    <row r="14" spans="1:29" ht="15.75" thickBot="1" x14ac:dyDescent="0.3">
      <c r="A14" s="131">
        <v>10</v>
      </c>
      <c r="B14" s="173" t="s">
        <v>5</v>
      </c>
      <c r="C14" s="67">
        <v>44390</v>
      </c>
      <c r="D14" s="67">
        <v>44391</v>
      </c>
      <c r="E14" s="67">
        <v>44392</v>
      </c>
      <c r="F14" s="67">
        <v>44393</v>
      </c>
      <c r="G14" s="67">
        <v>44394</v>
      </c>
      <c r="H14" s="1">
        <v>44395</v>
      </c>
      <c r="I14" s="5">
        <v>44396</v>
      </c>
      <c r="J14" s="69"/>
      <c r="K14" s="67">
        <v>44397</v>
      </c>
      <c r="L14" s="67">
        <v>44398</v>
      </c>
      <c r="M14" s="67">
        <v>44399</v>
      </c>
      <c r="N14" s="67">
        <v>44400</v>
      </c>
      <c r="O14" s="67">
        <v>44401</v>
      </c>
      <c r="P14" s="47">
        <v>44402</v>
      </c>
      <c r="Q14" s="174">
        <v>44403</v>
      </c>
      <c r="R14" s="163"/>
      <c r="S14" s="59"/>
      <c r="T14" s="56"/>
      <c r="V14" s="311" t="s">
        <v>0</v>
      </c>
      <c r="W14" s="340"/>
      <c r="X14" s="488"/>
      <c r="Y14" s="486">
        <f t="shared" ref="Y14" si="10">W15-W14</f>
        <v>0</v>
      </c>
    </row>
    <row r="15" spans="1:29" x14ac:dyDescent="0.25">
      <c r="A15" s="131">
        <v>11</v>
      </c>
      <c r="B15" s="175" t="s">
        <v>0</v>
      </c>
      <c r="C15" s="11"/>
      <c r="D15" s="11"/>
      <c r="E15" s="23"/>
      <c r="F15" s="11"/>
      <c r="G15" s="23"/>
      <c r="H15" s="48"/>
      <c r="I15" s="54"/>
      <c r="J15" s="137" t="s">
        <v>0</v>
      </c>
      <c r="K15" s="11"/>
      <c r="L15" s="11"/>
      <c r="M15" s="14"/>
      <c r="N15" s="14"/>
      <c r="O15" s="14"/>
      <c r="P15" s="48"/>
      <c r="Q15" s="176"/>
      <c r="R15" s="163"/>
      <c r="S15" s="59"/>
      <c r="T15" s="56"/>
      <c r="V15" s="314" t="s">
        <v>1</v>
      </c>
      <c r="W15" s="341"/>
      <c r="X15" s="489"/>
      <c r="Y15" s="487"/>
    </row>
    <row r="16" spans="1:29" x14ac:dyDescent="0.25">
      <c r="A16" s="131">
        <v>12</v>
      </c>
      <c r="B16" s="177" t="s">
        <v>1</v>
      </c>
      <c r="C16" s="11"/>
      <c r="D16" s="11"/>
      <c r="E16" s="23"/>
      <c r="F16" s="11"/>
      <c r="G16" s="23"/>
      <c r="H16" s="48"/>
      <c r="I16" s="54"/>
      <c r="J16" s="119" t="s">
        <v>1</v>
      </c>
      <c r="K16" s="11"/>
      <c r="L16" s="11"/>
      <c r="M16" s="14"/>
      <c r="N16" s="14"/>
      <c r="O16" s="14"/>
      <c r="P16" s="48"/>
      <c r="Q16" s="176"/>
      <c r="R16" s="164"/>
      <c r="S16" s="60"/>
      <c r="V16" s="311" t="s">
        <v>0</v>
      </c>
      <c r="W16" s="339"/>
      <c r="X16" s="485"/>
      <c r="Y16" s="486">
        <f t="shared" ref="Y16" si="11">W17-W16</f>
        <v>0</v>
      </c>
    </row>
    <row r="17" spans="1:31" x14ac:dyDescent="0.25">
      <c r="A17" s="131">
        <v>13</v>
      </c>
      <c r="B17" s="175" t="s">
        <v>0</v>
      </c>
      <c r="C17" s="11"/>
      <c r="D17" s="11"/>
      <c r="E17" s="23"/>
      <c r="F17" s="11"/>
      <c r="G17" s="23"/>
      <c r="H17" s="48"/>
      <c r="I17" s="54"/>
      <c r="J17" s="137" t="s">
        <v>0</v>
      </c>
      <c r="K17" s="11"/>
      <c r="L17" s="11"/>
      <c r="M17" s="14"/>
      <c r="N17" s="14"/>
      <c r="O17" s="14"/>
      <c r="P17" s="48"/>
      <c r="Q17" s="176"/>
      <c r="R17" s="164"/>
      <c r="S17" s="60"/>
      <c r="V17" s="314" t="s">
        <v>1</v>
      </c>
      <c r="W17" s="341"/>
      <c r="X17" s="489"/>
      <c r="Y17" s="487"/>
      <c r="AA17" s="57"/>
    </row>
    <row r="18" spans="1:31" x14ac:dyDescent="0.25">
      <c r="A18" s="131">
        <v>14</v>
      </c>
      <c r="B18" s="177" t="s">
        <v>1</v>
      </c>
      <c r="C18" s="331">
        <f ca="1">IF((C17-C16)&gt;$K$2,$L$2+C15+(C17-C16)-IFERROR(OFFSET($S$6,MATCH(C14,$R$7:$R$31,0),0),),$L$2+C15+$K$2-IFERROR(OFFSET($S$6,MATCH(C14,$R$7:$R$31,0),0),))</f>
        <v>0.36458333333333331</v>
      </c>
      <c r="D18" s="331">
        <f t="shared" ref="D18:G18" ca="1" si="12">IF((D17-D16)&gt;$K$2,$L$2+D15+(D17-D16)-IFERROR(OFFSET($S$6,MATCH(D14,$R$7:$R$31,0),0),),$L$2+D15+$K$2-IFERROR(OFFSET($S$6,MATCH(D14,$R$7:$R$31,0),0),))</f>
        <v>0.36458333333333331</v>
      </c>
      <c r="E18" s="331">
        <f t="shared" ca="1" si="12"/>
        <v>0.36458333333333331</v>
      </c>
      <c r="F18" s="331">
        <f t="shared" ca="1" si="12"/>
        <v>0.36458333333333331</v>
      </c>
      <c r="G18" s="331">
        <f t="shared" ca="1" si="12"/>
        <v>0.36458333333333331</v>
      </c>
      <c r="H18" s="48"/>
      <c r="I18" s="54"/>
      <c r="J18" s="119" t="s">
        <v>1</v>
      </c>
      <c r="K18" s="331">
        <f t="shared" ref="K18:O18" ca="1" si="13">IF((K17-K16)&gt;$K$2,$L$2+K15+(K17-K16)-IFERROR(OFFSET($S$6,MATCH(K14,$R$7:$R$31,0),0),),$L$2+K15+$K$2-IFERROR(OFFSET($S$6,MATCH(K14,$R$7:$R$31,0),0),))</f>
        <v>0.36458333333333331</v>
      </c>
      <c r="L18" s="331">
        <f t="shared" ca="1" si="13"/>
        <v>0.36458333333333331</v>
      </c>
      <c r="M18" s="331">
        <f t="shared" ca="1" si="13"/>
        <v>0.36458333333333331</v>
      </c>
      <c r="N18" s="331">
        <f t="shared" ca="1" si="13"/>
        <v>0.36458333333333331</v>
      </c>
      <c r="O18" s="331">
        <f t="shared" ca="1" si="13"/>
        <v>0.36458333333333331</v>
      </c>
      <c r="P18" s="48"/>
      <c r="Q18" s="176"/>
      <c r="R18" s="164"/>
      <c r="S18" s="61"/>
      <c r="V18" s="311" t="s">
        <v>0</v>
      </c>
      <c r="W18" s="340"/>
      <c r="X18" s="483"/>
      <c r="Y18" s="486">
        <f t="shared" ref="Y18" si="14">W19-W18</f>
        <v>0</v>
      </c>
    </row>
    <row r="19" spans="1:31" x14ac:dyDescent="0.25">
      <c r="A19" s="131">
        <v>15</v>
      </c>
      <c r="B19" s="177" t="s">
        <v>2</v>
      </c>
      <c r="C19" s="332">
        <f ca="1">IF(COUNT(C15,C16,C17)&gt;0,IF((C17-C16)&gt;$K$2,((C18-C15)-(C17-C16)),((C18-C15-$K$2))),$K$1)  + IFERROR(OFFSET($Y$6,MATCH(C14,$X$7:$X$30,0),0),$K$1) + IFERROR(OFFSET($S$6,MATCH(C14,$R$7:$R$31,0),0),)</f>
        <v>0</v>
      </c>
      <c r="D19" s="332">
        <f t="shared" ref="D19:G19" ca="1" si="15">IF(COUNT(D15,D16,D17)&gt;0,IF((D17-D16)&gt;$K$2,((D18-D15)-(D17-D16)),((D18-D15-$K$2))),$K$1)  + IFERROR(OFFSET($Y$6,MATCH(D14,$X$7:$X$30,0),0),$K$1) + IFERROR(OFFSET($S$6,MATCH(D14,$R$7:$R$31,0),0),)</f>
        <v>0</v>
      </c>
      <c r="E19" s="332">
        <f t="shared" ca="1" si="15"/>
        <v>0</v>
      </c>
      <c r="F19" s="332">
        <f t="shared" ca="1" si="15"/>
        <v>0</v>
      </c>
      <c r="G19" s="332">
        <f t="shared" ca="1" si="15"/>
        <v>0</v>
      </c>
      <c r="H19" s="48"/>
      <c r="I19" s="54"/>
      <c r="J19" s="119" t="s">
        <v>2</v>
      </c>
      <c r="K19" s="332">
        <f t="shared" ref="K19:O19" ca="1" si="16">IF(COUNT(K15,K16,K17)&gt;0,IF((K17-K16)&gt;$K$2,((K18-K15)-(K17-K16)),((K18-K15-$K$2))),$K$1)  + IFERROR(OFFSET($Y$6,MATCH(K14,$X$7:$X$30,0),0),$K$1) + IFERROR(OFFSET($S$6,MATCH(K14,$R$7:$R$31,0),0),)</f>
        <v>0</v>
      </c>
      <c r="L19" s="332">
        <f t="shared" ca="1" si="16"/>
        <v>0</v>
      </c>
      <c r="M19" s="332">
        <f t="shared" ca="1" si="16"/>
        <v>0</v>
      </c>
      <c r="N19" s="332">
        <f t="shared" ca="1" si="16"/>
        <v>0</v>
      </c>
      <c r="O19" s="332">
        <f t="shared" ca="1" si="16"/>
        <v>0</v>
      </c>
      <c r="P19" s="48"/>
      <c r="Q19" s="176"/>
      <c r="R19" s="164"/>
      <c r="S19" s="60"/>
      <c r="V19" s="314" t="s">
        <v>1</v>
      </c>
      <c r="W19" s="341"/>
      <c r="X19" s="484"/>
      <c r="Y19" s="487"/>
    </row>
    <row r="20" spans="1:31" x14ac:dyDescent="0.25">
      <c r="A20" s="131">
        <v>16</v>
      </c>
      <c r="B20" s="177" t="s">
        <v>3</v>
      </c>
      <c r="C20" s="332">
        <f ca="1">IFERROR(C19+OFFSET($S$6,MATCH(C14,$R$7:$R$31,0),0)-$L$2,C19-$L$2) -IFERROR(OFFSET($S$6,MATCH(C14,$R$7:$R$31,0),0),)</f>
        <v>-0.33333333333333331</v>
      </c>
      <c r="D20" s="332">
        <f t="shared" ref="D20:G20" ca="1" si="17">IFERROR(D19+OFFSET($S$6,MATCH(D14,$R$7:$R$31,0),0)-$L$2,D19-$L$2) -IFERROR(OFFSET($S$6,MATCH(D14,$R$7:$R$31,0),0),)</f>
        <v>-0.33333333333333331</v>
      </c>
      <c r="E20" s="332">
        <f t="shared" ca="1" si="17"/>
        <v>-0.33333333333333331</v>
      </c>
      <c r="F20" s="332">
        <f t="shared" ca="1" si="17"/>
        <v>-0.33333333333333331</v>
      </c>
      <c r="G20" s="332">
        <f t="shared" ca="1" si="17"/>
        <v>-0.33333333333333331</v>
      </c>
      <c r="H20" s="48"/>
      <c r="I20" s="54"/>
      <c r="J20" s="119" t="s">
        <v>3</v>
      </c>
      <c r="K20" s="332">
        <f t="shared" ref="K20:O20" ca="1" si="18">IFERROR(K19+OFFSET($S$6,MATCH(K14,$R$7:$R$31,0),0)-$L$2,K19-$L$2) -IFERROR(OFFSET($S$6,MATCH(K14,$R$7:$R$31,0),0),)</f>
        <v>-0.33333333333333331</v>
      </c>
      <c r="L20" s="332">
        <f t="shared" ca="1" si="18"/>
        <v>-0.33333333333333331</v>
      </c>
      <c r="M20" s="332">
        <f t="shared" ca="1" si="18"/>
        <v>-0.33333333333333331</v>
      </c>
      <c r="N20" s="332">
        <f t="shared" ca="1" si="18"/>
        <v>-0.33333333333333331</v>
      </c>
      <c r="O20" s="332">
        <f t="shared" ca="1" si="18"/>
        <v>-0.33333333333333331</v>
      </c>
      <c r="P20" s="48"/>
      <c r="Q20" s="176"/>
      <c r="R20" s="164"/>
      <c r="S20" s="60"/>
      <c r="V20" s="311" t="s">
        <v>0</v>
      </c>
      <c r="W20" s="317"/>
      <c r="X20" s="483"/>
      <c r="Y20" s="486">
        <f t="shared" ref="Y20" si="19">W21-W20</f>
        <v>0</v>
      </c>
    </row>
    <row r="21" spans="1:31" ht="15.75" thickBot="1" x14ac:dyDescent="0.3">
      <c r="A21" s="131">
        <v>17</v>
      </c>
      <c r="B21" s="177" t="s">
        <v>4</v>
      </c>
      <c r="C21" s="24">
        <f ca="1">O12+C20</f>
        <v>-3.3333333333333335</v>
      </c>
      <c r="D21" s="24">
        <f t="shared" ref="D21" ca="1" si="20">C21+D20</f>
        <v>-3.666666666666667</v>
      </c>
      <c r="E21" s="25">
        <f t="shared" ref="E21:G21" ca="1" si="21">D21+E20</f>
        <v>-4</v>
      </c>
      <c r="F21" s="24">
        <f t="shared" ca="1" si="21"/>
        <v>-4.333333333333333</v>
      </c>
      <c r="G21" s="42">
        <f t="shared" ca="1" si="21"/>
        <v>-4.6666666666666661</v>
      </c>
      <c r="H21" s="48"/>
      <c r="I21" s="54"/>
      <c r="J21" s="138" t="s">
        <v>4</v>
      </c>
      <c r="K21" s="15">
        <f ca="1">G21+K20</f>
        <v>-4.9999999999999991</v>
      </c>
      <c r="L21" s="15">
        <f ca="1">K21+L20</f>
        <v>-5.3333333333333321</v>
      </c>
      <c r="M21" s="15">
        <f t="shared" ref="M21" ca="1" si="22">L21+M20</f>
        <v>-5.6666666666666652</v>
      </c>
      <c r="N21" s="15">
        <f t="shared" ref="N21" ca="1" si="23">M21+N20</f>
        <v>-5.9999999999999982</v>
      </c>
      <c r="O21" s="15">
        <f t="shared" ref="O21" ca="1" si="24">N21+O20</f>
        <v>-6.3333333333333313</v>
      </c>
      <c r="P21" s="55"/>
      <c r="Q21" s="179"/>
      <c r="R21" s="164"/>
      <c r="S21" s="60"/>
      <c r="V21" s="314" t="s">
        <v>1</v>
      </c>
      <c r="W21" s="318"/>
      <c r="X21" s="484"/>
      <c r="Y21" s="487"/>
    </row>
    <row r="22" spans="1:31" x14ac:dyDescent="0.25">
      <c r="A22" s="131">
        <v>18</v>
      </c>
      <c r="B22" s="180" t="s">
        <v>8</v>
      </c>
      <c r="C22" s="66" t="s">
        <v>31</v>
      </c>
      <c r="D22" s="66" t="s">
        <v>25</v>
      </c>
      <c r="E22" s="66" t="s">
        <v>26</v>
      </c>
      <c r="F22" s="66" t="s">
        <v>27</v>
      </c>
      <c r="G22" s="73"/>
      <c r="H22" s="71" t="s">
        <v>29</v>
      </c>
      <c r="I22" s="72" t="s">
        <v>30</v>
      </c>
      <c r="J22" s="36"/>
      <c r="K22" s="73"/>
      <c r="L22" s="73"/>
      <c r="M22" s="73"/>
      <c r="N22" s="73"/>
      <c r="O22" s="73"/>
      <c r="P22" s="46"/>
      <c r="Q22" s="182"/>
      <c r="R22" s="164"/>
      <c r="S22" s="60"/>
      <c r="V22" s="311" t="s">
        <v>0</v>
      </c>
      <c r="W22" s="317"/>
      <c r="X22" s="483"/>
      <c r="Y22" s="486">
        <f t="shared" ref="Y22" si="25">W23-W22</f>
        <v>0</v>
      </c>
    </row>
    <row r="23" spans="1:31" ht="15.75" thickBot="1" x14ac:dyDescent="0.3">
      <c r="A23" s="131">
        <v>19</v>
      </c>
      <c r="B23" s="173" t="s">
        <v>5</v>
      </c>
      <c r="C23" s="67">
        <v>44404</v>
      </c>
      <c r="D23" s="67">
        <v>44405</v>
      </c>
      <c r="E23" s="67">
        <v>44406</v>
      </c>
      <c r="F23" s="67">
        <v>44407</v>
      </c>
      <c r="G23" s="3"/>
      <c r="H23" s="1">
        <v>44409</v>
      </c>
      <c r="I23" s="4">
        <v>44410</v>
      </c>
      <c r="J23" s="37"/>
      <c r="K23" s="3"/>
      <c r="L23" s="3"/>
      <c r="M23" s="3"/>
      <c r="N23" s="3"/>
      <c r="O23" s="3"/>
      <c r="P23" s="47"/>
      <c r="Q23" s="174"/>
      <c r="R23" s="164"/>
      <c r="S23" s="60"/>
      <c r="V23" s="314" t="s">
        <v>1</v>
      </c>
      <c r="W23" s="318"/>
      <c r="X23" s="484"/>
      <c r="Y23" s="487"/>
    </row>
    <row r="24" spans="1:31" x14ac:dyDescent="0.25">
      <c r="A24" s="131">
        <v>20</v>
      </c>
      <c r="B24" s="175" t="s">
        <v>0</v>
      </c>
      <c r="C24" s="12"/>
      <c r="D24" s="12"/>
      <c r="E24" s="26"/>
      <c r="F24" s="12"/>
      <c r="G24" s="17"/>
      <c r="H24" s="51"/>
      <c r="I24" s="52"/>
      <c r="J24" s="49" t="s">
        <v>0</v>
      </c>
      <c r="K24" s="17"/>
      <c r="L24" s="17"/>
      <c r="M24" s="18"/>
      <c r="N24" s="16"/>
      <c r="O24" s="16"/>
      <c r="P24" s="48"/>
      <c r="Q24" s="183"/>
      <c r="R24" s="164"/>
      <c r="S24" s="60"/>
      <c r="V24" s="319" t="s">
        <v>0</v>
      </c>
      <c r="W24" s="339"/>
      <c r="X24" s="485"/>
      <c r="Y24" s="486">
        <f t="shared" ref="Y24" si="26">W25-W24</f>
        <v>0</v>
      </c>
    </row>
    <row r="25" spans="1:31" x14ac:dyDescent="0.25">
      <c r="A25" s="131">
        <v>21</v>
      </c>
      <c r="B25" s="177" t="s">
        <v>1</v>
      </c>
      <c r="C25" s="11"/>
      <c r="D25" s="11"/>
      <c r="E25" s="13"/>
      <c r="F25" s="11"/>
      <c r="G25" s="16"/>
      <c r="H25" s="48"/>
      <c r="I25" s="53"/>
      <c r="J25" s="45" t="s">
        <v>1</v>
      </c>
      <c r="K25" s="16"/>
      <c r="L25" s="16"/>
      <c r="M25" s="18"/>
      <c r="N25" s="16"/>
      <c r="O25" s="16"/>
      <c r="P25" s="48"/>
      <c r="Q25" s="176"/>
      <c r="R25" s="164"/>
      <c r="S25" s="60"/>
      <c r="V25" s="314" t="s">
        <v>1</v>
      </c>
      <c r="W25" s="339"/>
      <c r="X25" s="485"/>
      <c r="Y25" s="487"/>
    </row>
    <row r="26" spans="1:31" x14ac:dyDescent="0.25">
      <c r="A26" s="131">
        <v>22</v>
      </c>
      <c r="B26" s="175" t="s">
        <v>0</v>
      </c>
      <c r="C26" s="11"/>
      <c r="D26" s="11"/>
      <c r="E26" s="13"/>
      <c r="F26" s="11"/>
      <c r="G26" s="16"/>
      <c r="H26" s="48"/>
      <c r="I26" s="53"/>
      <c r="J26" s="50" t="s">
        <v>0</v>
      </c>
      <c r="K26" s="16"/>
      <c r="L26" s="16"/>
      <c r="M26" s="18"/>
      <c r="N26" s="16"/>
      <c r="O26" s="16"/>
      <c r="P26" s="48"/>
      <c r="Q26" s="176"/>
      <c r="R26" s="164"/>
      <c r="S26" s="60"/>
      <c r="V26" s="311" t="s">
        <v>0</v>
      </c>
      <c r="W26" s="340"/>
      <c r="X26" s="488"/>
      <c r="Y26" s="486">
        <f t="shared" ref="Y26" si="27">W27-W26</f>
        <v>0</v>
      </c>
    </row>
    <row r="27" spans="1:31" x14ac:dyDescent="0.25">
      <c r="A27" s="131">
        <v>23</v>
      </c>
      <c r="B27" s="177" t="s">
        <v>1</v>
      </c>
      <c r="C27" s="331">
        <f t="shared" ref="C27:F27" ca="1" si="28">IF((C26-C25)&gt;$K$2,$L$2+C24+(C26-C25)-IFERROR(OFFSET($S$6,MATCH(C23,$R$7:$R$31,0),0),),$L$2+C24+$K$2-IFERROR(OFFSET($S$6,MATCH(C23,$R$7:$R$31,0),0),))</f>
        <v>0.36458333333333331</v>
      </c>
      <c r="D27" s="331">
        <f t="shared" ca="1" si="28"/>
        <v>0.36458333333333331</v>
      </c>
      <c r="E27" s="331">
        <f t="shared" ca="1" si="28"/>
        <v>0.36458333333333331</v>
      </c>
      <c r="F27" s="331">
        <f t="shared" ca="1" si="28"/>
        <v>0.36458333333333331</v>
      </c>
      <c r="G27" s="16"/>
      <c r="H27" s="48"/>
      <c r="I27" s="53"/>
      <c r="J27" s="45" t="s">
        <v>1</v>
      </c>
      <c r="K27" s="16"/>
      <c r="L27" s="16"/>
      <c r="M27" s="18"/>
      <c r="N27" s="16"/>
      <c r="O27" s="16"/>
      <c r="P27" s="48"/>
      <c r="Q27" s="176"/>
      <c r="R27" s="164"/>
      <c r="S27" s="60"/>
      <c r="V27" s="314" t="s">
        <v>1</v>
      </c>
      <c r="W27" s="341"/>
      <c r="X27" s="489"/>
      <c r="Y27" s="487"/>
    </row>
    <row r="28" spans="1:31" x14ac:dyDescent="0.25">
      <c r="A28" s="131">
        <v>24</v>
      </c>
      <c r="B28" s="177" t="s">
        <v>2</v>
      </c>
      <c r="C28" s="332">
        <f t="shared" ref="C28:F28" ca="1" si="29">IF(COUNT(C24,C25,C26)&gt;0,IF((C26-C25)&gt;$K$2,((C27-C24)-(C26-C25)),((C27-C24-$K$2))),$K$1)  + IFERROR(OFFSET($Y$6,MATCH(C23,$X$7:$X$30,0),0),$K$1) + IFERROR(OFFSET($S$6,MATCH(C23,$R$7:$R$31,0),0),)</f>
        <v>0</v>
      </c>
      <c r="D28" s="332">
        <f t="shared" ca="1" si="29"/>
        <v>0</v>
      </c>
      <c r="E28" s="332">
        <f t="shared" ca="1" si="29"/>
        <v>0</v>
      </c>
      <c r="F28" s="332">
        <f t="shared" ca="1" si="29"/>
        <v>0</v>
      </c>
      <c r="G28" s="19"/>
      <c r="H28" s="48"/>
      <c r="I28" s="53"/>
      <c r="J28" s="45" t="s">
        <v>2</v>
      </c>
      <c r="K28" s="19"/>
      <c r="L28" s="19"/>
      <c r="M28" s="20"/>
      <c r="N28" s="19"/>
      <c r="O28" s="19"/>
      <c r="P28" s="48"/>
      <c r="Q28" s="176"/>
      <c r="R28" s="164"/>
      <c r="S28" s="60"/>
      <c r="V28" s="311" t="s">
        <v>0</v>
      </c>
      <c r="W28" s="339"/>
      <c r="X28" s="485"/>
      <c r="Y28" s="486">
        <f t="shared" ref="Y28" si="30">W29-W28</f>
        <v>0</v>
      </c>
    </row>
    <row r="29" spans="1:31" x14ac:dyDescent="0.25">
      <c r="A29" s="131">
        <v>25</v>
      </c>
      <c r="B29" s="177" t="s">
        <v>3</v>
      </c>
      <c r="C29" s="332">
        <f t="shared" ref="C29:F29" ca="1" si="31">IFERROR(C28+OFFSET($S$6,MATCH(C23,$R$7:$R$31,0),0)-$L$2,C28-$L$2) -IFERROR(OFFSET($S$6,MATCH(C23,$R$7:$R$31,0),0),)</f>
        <v>-0.33333333333333331</v>
      </c>
      <c r="D29" s="332">
        <f t="shared" ca="1" si="31"/>
        <v>-0.33333333333333331</v>
      </c>
      <c r="E29" s="332">
        <f t="shared" ca="1" si="31"/>
        <v>-0.33333333333333331</v>
      </c>
      <c r="F29" s="332">
        <f t="shared" ca="1" si="31"/>
        <v>-0.33333333333333331</v>
      </c>
      <c r="G29" s="19"/>
      <c r="H29" s="48"/>
      <c r="I29" s="53"/>
      <c r="J29" s="45" t="s">
        <v>3</v>
      </c>
      <c r="K29" s="19"/>
      <c r="L29" s="19"/>
      <c r="M29" s="19"/>
      <c r="N29" s="19"/>
      <c r="O29" s="19"/>
      <c r="P29" s="48"/>
      <c r="Q29" s="176"/>
      <c r="R29" s="164"/>
      <c r="S29" s="60"/>
      <c r="V29" s="314" t="s">
        <v>1</v>
      </c>
      <c r="W29" s="341"/>
      <c r="X29" s="489"/>
      <c r="Y29" s="487"/>
    </row>
    <row r="30" spans="1:31" ht="15.75" thickBot="1" x14ac:dyDescent="0.3">
      <c r="A30" s="131">
        <v>26</v>
      </c>
      <c r="B30" s="184" t="s">
        <v>4</v>
      </c>
      <c r="C30" s="185">
        <f ca="1">O21+C29</f>
        <v>-6.6666666666666643</v>
      </c>
      <c r="D30" s="185">
        <f t="shared" ref="D30" ca="1" si="32">C30+D29</f>
        <v>-6.9999999999999973</v>
      </c>
      <c r="E30" s="185">
        <f t="shared" ref="E30" ca="1" si="33">D30+E29</f>
        <v>-7.3333333333333304</v>
      </c>
      <c r="F30" s="185">
        <f t="shared" ref="F30" ca="1" si="34">E30+F29</f>
        <v>-7.6666666666666634</v>
      </c>
      <c r="G30" s="186"/>
      <c r="H30" s="187"/>
      <c r="I30" s="188"/>
      <c r="J30" s="189" t="s">
        <v>4</v>
      </c>
      <c r="K30" s="186"/>
      <c r="L30" s="190"/>
      <c r="M30" s="190"/>
      <c r="N30" s="190"/>
      <c r="O30" s="186"/>
      <c r="P30" s="187"/>
      <c r="Q30" s="191"/>
      <c r="R30" s="165"/>
      <c r="S30" s="62"/>
    </row>
    <row r="31" spans="1:31" ht="16.5" thickTop="1" thickBot="1" x14ac:dyDescent="0.3">
      <c r="A31" s="131">
        <v>27</v>
      </c>
      <c r="B31" s="192" t="s">
        <v>9</v>
      </c>
      <c r="C31" s="167"/>
      <c r="D31" s="167"/>
      <c r="E31" s="167"/>
      <c r="F31" s="167"/>
      <c r="G31" s="168" t="s">
        <v>28</v>
      </c>
      <c r="H31" s="256" t="s">
        <v>29</v>
      </c>
      <c r="I31" s="194" t="s">
        <v>30</v>
      </c>
      <c r="J31" s="171"/>
      <c r="K31" s="168" t="s">
        <v>31</v>
      </c>
      <c r="L31" s="168" t="s">
        <v>25</v>
      </c>
      <c r="M31" s="168" t="s">
        <v>26</v>
      </c>
      <c r="N31" s="168" t="s">
        <v>27</v>
      </c>
      <c r="O31" s="168" t="s">
        <v>28</v>
      </c>
      <c r="P31" s="193">
        <f t="shared" ref="P31:Q31" si="35">P32</f>
        <v>44416</v>
      </c>
      <c r="Q31" s="257">
        <f t="shared" si="35"/>
        <v>44417</v>
      </c>
      <c r="R31" s="468" t="s">
        <v>16</v>
      </c>
      <c r="S31" s="469"/>
      <c r="T31" s="470" t="s">
        <v>17</v>
      </c>
      <c r="U31" s="471"/>
      <c r="V31" s="480" t="s">
        <v>117</v>
      </c>
      <c r="W31" s="481"/>
      <c r="X31" s="481"/>
      <c r="Y31" s="482"/>
      <c r="Z31" s="328"/>
      <c r="AA31" s="450" t="s">
        <v>36</v>
      </c>
      <c r="AB31" s="451"/>
      <c r="AC31" s="451"/>
      <c r="AD31" s="451"/>
      <c r="AE31" s="452"/>
    </row>
    <row r="32" spans="1:31" ht="15.75" thickBot="1" x14ac:dyDescent="0.3">
      <c r="A32" s="131">
        <v>28</v>
      </c>
      <c r="B32" s="195" t="s">
        <v>5</v>
      </c>
      <c r="C32" s="3"/>
      <c r="D32" s="3"/>
      <c r="E32" s="3"/>
      <c r="F32" s="3"/>
      <c r="G32" s="67">
        <v>44408</v>
      </c>
      <c r="H32" s="80">
        <v>44409</v>
      </c>
      <c r="I32" s="81">
        <v>44410</v>
      </c>
      <c r="J32" s="69"/>
      <c r="K32" s="67">
        <v>44411</v>
      </c>
      <c r="L32" s="67">
        <v>44412</v>
      </c>
      <c r="M32" s="67">
        <v>44413</v>
      </c>
      <c r="N32" s="67">
        <v>44414</v>
      </c>
      <c r="O32" s="67">
        <v>44415</v>
      </c>
      <c r="P32" s="80">
        <v>44416</v>
      </c>
      <c r="Q32" s="196">
        <v>44417</v>
      </c>
      <c r="R32" s="162" t="s">
        <v>14</v>
      </c>
      <c r="S32" s="58" t="s">
        <v>15</v>
      </c>
      <c r="T32" s="64" t="s">
        <v>20</v>
      </c>
      <c r="U32" s="65" t="s">
        <v>18</v>
      </c>
      <c r="V32" s="308"/>
      <c r="W32" s="309" t="s">
        <v>15</v>
      </c>
      <c r="X32" s="310" t="s">
        <v>14</v>
      </c>
      <c r="Y32" s="310" t="s">
        <v>118</v>
      </c>
      <c r="Z32" s="329"/>
      <c r="AA32" s="453"/>
      <c r="AB32" s="454"/>
      <c r="AC32" s="454"/>
      <c r="AD32" s="454"/>
      <c r="AE32" s="455"/>
    </row>
    <row r="33" spans="1:31" x14ac:dyDescent="0.25">
      <c r="A33" s="131">
        <v>29</v>
      </c>
      <c r="B33" s="175" t="s">
        <v>0</v>
      </c>
      <c r="C33" s="17"/>
      <c r="D33" s="17"/>
      <c r="E33" s="27"/>
      <c r="F33" s="17"/>
      <c r="G33" s="12"/>
      <c r="H33" s="76"/>
      <c r="I33" s="76"/>
      <c r="J33" s="132" t="s">
        <v>0</v>
      </c>
      <c r="K33" s="331"/>
      <c r="L33" s="331"/>
      <c r="M33" s="331"/>
      <c r="N33" s="331"/>
      <c r="O33" s="331"/>
      <c r="P33" s="76"/>
      <c r="Q33" s="197"/>
      <c r="R33" s="163"/>
      <c r="S33" s="59"/>
      <c r="V33" s="311" t="s">
        <v>0</v>
      </c>
      <c r="W33" s="317"/>
      <c r="X33" s="483"/>
      <c r="Y33" s="486">
        <f>W34-W33</f>
        <v>0</v>
      </c>
      <c r="Z33" s="330"/>
      <c r="AA33" s="259" t="s">
        <v>37</v>
      </c>
      <c r="AB33" s="261" t="s">
        <v>42</v>
      </c>
      <c r="AC33" s="261" t="s">
        <v>43</v>
      </c>
      <c r="AD33" s="261" t="s">
        <v>44</v>
      </c>
      <c r="AE33" s="262" t="s">
        <v>45</v>
      </c>
    </row>
    <row r="34" spans="1:31" x14ac:dyDescent="0.25">
      <c r="A34" s="131">
        <v>30</v>
      </c>
      <c r="B34" s="177" t="s">
        <v>1</v>
      </c>
      <c r="C34" s="16"/>
      <c r="D34" s="16"/>
      <c r="E34" s="18"/>
      <c r="F34" s="16"/>
      <c r="G34" s="11"/>
      <c r="H34" s="76"/>
      <c r="I34" s="76"/>
      <c r="J34" s="133" t="s">
        <v>1</v>
      </c>
      <c r="K34" s="331"/>
      <c r="L34" s="331"/>
      <c r="M34" s="331"/>
      <c r="N34" s="331"/>
      <c r="O34" s="331"/>
      <c r="P34" s="76"/>
      <c r="Q34" s="197"/>
      <c r="R34" s="163"/>
      <c r="S34" s="59"/>
      <c r="V34" s="314" t="s">
        <v>1</v>
      </c>
      <c r="W34" s="318"/>
      <c r="X34" s="484"/>
      <c r="Y34" s="487"/>
      <c r="Z34" s="329"/>
      <c r="AA34" s="263" t="s">
        <v>38</v>
      </c>
      <c r="AB34" s="260" t="s">
        <v>46</v>
      </c>
      <c r="AC34" s="260" t="s">
        <v>47</v>
      </c>
      <c r="AD34" s="260" t="s">
        <v>44</v>
      </c>
      <c r="AE34" s="264" t="s">
        <v>48</v>
      </c>
    </row>
    <row r="35" spans="1:31" x14ac:dyDescent="0.25">
      <c r="A35" s="131">
        <v>31</v>
      </c>
      <c r="B35" s="175" t="s">
        <v>0</v>
      </c>
      <c r="C35" s="16"/>
      <c r="D35" s="16"/>
      <c r="E35" s="18"/>
      <c r="F35" s="16"/>
      <c r="G35" s="11"/>
      <c r="H35" s="76"/>
      <c r="I35" s="76"/>
      <c r="J35" s="132" t="s">
        <v>0</v>
      </c>
      <c r="K35" s="331"/>
      <c r="L35" s="331"/>
      <c r="M35" s="331"/>
      <c r="N35" s="331"/>
      <c r="O35" s="331"/>
      <c r="P35" s="76"/>
      <c r="Q35" s="197"/>
      <c r="R35" s="163"/>
      <c r="S35" s="59"/>
      <c r="V35" s="311" t="s">
        <v>0</v>
      </c>
      <c r="W35" s="317"/>
      <c r="X35" s="483"/>
      <c r="Y35" s="486">
        <f t="shared" ref="Y35" si="36">W36-W35</f>
        <v>0</v>
      </c>
      <c r="Z35" s="330"/>
      <c r="AA35" s="265" t="s">
        <v>38</v>
      </c>
      <c r="AB35" s="260" t="s">
        <v>49</v>
      </c>
      <c r="AC35" s="260" t="s">
        <v>50</v>
      </c>
      <c r="AD35" s="260" t="s">
        <v>51</v>
      </c>
      <c r="AE35" s="264" t="s">
        <v>52</v>
      </c>
    </row>
    <row r="36" spans="1:31" x14ac:dyDescent="0.25">
      <c r="A36" s="131">
        <v>32</v>
      </c>
      <c r="B36" s="177" t="s">
        <v>1</v>
      </c>
      <c r="C36" s="16"/>
      <c r="D36" s="16"/>
      <c r="E36" s="18"/>
      <c r="F36" s="16"/>
      <c r="G36" s="331">
        <f ca="1">IF((G35-G34)&gt;$K$2,$L$2+G33+(G35-G34)-IFERROR(OFFSET($S$5,MATCH(G32,$R$6:$R$165,0),0),),$L$2+G33+$K$2-IFERROR(OFFSET($S$5,MATCH(G32,$R$6:$R$165,0),0),))</f>
        <v>0.36458333333333331</v>
      </c>
      <c r="H36" s="76"/>
      <c r="I36" s="76"/>
      <c r="J36" s="133" t="s">
        <v>1</v>
      </c>
      <c r="K36" s="331">
        <f t="shared" ref="K36:O36" ca="1" si="37">IF((K35-K34)&gt;$K$2,$L$2+K33+(K35-K34)-IFERROR(OFFSET($S$5,MATCH(K32,$R$6:$R$165,0),0),),$L$2+K33+$K$2-IFERROR(OFFSET($S$5,MATCH(K32,$R$6:$R$165,0),0),))</f>
        <v>0.36458333333333331</v>
      </c>
      <c r="L36" s="331">
        <f t="shared" ca="1" si="37"/>
        <v>0.36458333333333331</v>
      </c>
      <c r="M36" s="331">
        <f t="shared" ca="1" si="37"/>
        <v>0.36458333333333331</v>
      </c>
      <c r="N36" s="331">
        <f t="shared" ca="1" si="37"/>
        <v>0.36458333333333331</v>
      </c>
      <c r="O36" s="331">
        <f t="shared" ca="1" si="37"/>
        <v>0.36458333333333331</v>
      </c>
      <c r="P36" s="76"/>
      <c r="Q36" s="197"/>
      <c r="R36" s="163"/>
      <c r="S36" s="59"/>
      <c r="V36" s="314" t="s">
        <v>1</v>
      </c>
      <c r="W36" s="318"/>
      <c r="X36" s="484"/>
      <c r="Y36" s="487"/>
      <c r="Z36" s="329"/>
      <c r="AA36" s="266" t="s">
        <v>39</v>
      </c>
      <c r="AB36" s="260" t="s">
        <v>53</v>
      </c>
      <c r="AC36" s="260" t="s">
        <v>54</v>
      </c>
      <c r="AD36" s="260" t="s">
        <v>55</v>
      </c>
      <c r="AE36" s="264" t="s">
        <v>56</v>
      </c>
    </row>
    <row r="37" spans="1:31" x14ac:dyDescent="0.25">
      <c r="A37" s="131">
        <v>33</v>
      </c>
      <c r="B37" s="177" t="s">
        <v>2</v>
      </c>
      <c r="C37" s="19"/>
      <c r="D37" s="19"/>
      <c r="E37" s="19"/>
      <c r="F37" s="19"/>
      <c r="G37" s="332">
        <f ca="1">IF(COUNT(G33,G34,G35)&gt;0,IF((G35-G34)&gt;$K$2,((G36-G33)-(G35-G34)),((G36-G33-$K$2))),$K$1)  + IFERROR(OFFSET($Y$5,MATCH(G32,$X$6:$X$165,0),0),$K$1) + IFERROR(OFFSET($S$5,MATCH(G32,$R$6:$R$165,0),0),)</f>
        <v>0</v>
      </c>
      <c r="H37" s="76"/>
      <c r="I37" s="76"/>
      <c r="J37" s="133" t="s">
        <v>2</v>
      </c>
      <c r="K37" s="332">
        <f t="shared" ref="K37:O37" ca="1" si="38">IF(COUNT(K33,K34,K35)&gt;0,IF((K35-K34)&gt;$K$2,((K36-K33)-(K35-K34)),((K36-K33-$K$2))),$K$1)  + IFERROR(OFFSET($Y$5,MATCH(K32,$X$6:$X$165,0),0),$K$1) + IFERROR(OFFSET($S$5,MATCH(K32,$R$6:$R$165,0),0),)</f>
        <v>0</v>
      </c>
      <c r="L37" s="332">
        <f t="shared" ca="1" si="38"/>
        <v>0</v>
      </c>
      <c r="M37" s="332">
        <f t="shared" ca="1" si="38"/>
        <v>0</v>
      </c>
      <c r="N37" s="332">
        <f t="shared" ca="1" si="38"/>
        <v>0</v>
      </c>
      <c r="O37" s="332">
        <f t="shared" ca="1" si="38"/>
        <v>0</v>
      </c>
      <c r="P37" s="76"/>
      <c r="Q37" s="197"/>
      <c r="R37" s="163"/>
      <c r="S37" s="59"/>
      <c r="V37" s="311" t="s">
        <v>0</v>
      </c>
      <c r="W37" s="317"/>
      <c r="X37" s="483"/>
      <c r="Y37" s="486">
        <f t="shared" ref="Y37" si="39">W38-W37</f>
        <v>0</v>
      </c>
      <c r="Z37" s="330"/>
      <c r="AA37" s="266" t="s">
        <v>40</v>
      </c>
      <c r="AB37" s="260" t="s">
        <v>57</v>
      </c>
      <c r="AC37" s="260" t="s">
        <v>58</v>
      </c>
      <c r="AD37" s="260" t="s">
        <v>59</v>
      </c>
      <c r="AE37" s="264" t="s">
        <v>60</v>
      </c>
    </row>
    <row r="38" spans="1:31" ht="15.75" thickBot="1" x14ac:dyDescent="0.3">
      <c r="A38" s="131">
        <v>34</v>
      </c>
      <c r="B38" s="177" t="s">
        <v>3</v>
      </c>
      <c r="C38" s="19"/>
      <c r="D38" s="19"/>
      <c r="E38" s="19"/>
      <c r="F38" s="19"/>
      <c r="G38" s="332">
        <f ca="1">IFERROR(G37+OFFSET($S$5,MATCH(G32,$R$6:$R$165,0),0)-$L$2,G37-$L$2) -IFERROR(OFFSET($S$5,MATCH(G32,$R$6:$R$165,0),0),)</f>
        <v>-0.33333333333333331</v>
      </c>
      <c r="H38" s="76"/>
      <c r="I38" s="76"/>
      <c r="J38" s="133" t="s">
        <v>3</v>
      </c>
      <c r="K38" s="332">
        <f t="shared" ref="K38:O38" ca="1" si="40">IFERROR(K37+OFFSET($S$5,MATCH(K32,$R$6:$R$165,0),0)-$L$2,K37-$L$2) -IFERROR(OFFSET($S$5,MATCH(K32,$R$6:$R$165,0),0),)</f>
        <v>-0.33333333333333331</v>
      </c>
      <c r="L38" s="332">
        <f t="shared" ca="1" si="40"/>
        <v>-0.33333333333333331</v>
      </c>
      <c r="M38" s="332">
        <f t="shared" ca="1" si="40"/>
        <v>-0.33333333333333331</v>
      </c>
      <c r="N38" s="332">
        <f t="shared" ca="1" si="40"/>
        <v>-0.33333333333333331</v>
      </c>
      <c r="O38" s="332">
        <f t="shared" ca="1" si="40"/>
        <v>-0.33333333333333331</v>
      </c>
      <c r="P38" s="76"/>
      <c r="Q38" s="197"/>
      <c r="R38" s="163"/>
      <c r="S38" s="59"/>
      <c r="V38" s="314" t="s">
        <v>1</v>
      </c>
      <c r="W38" s="318"/>
      <c r="X38" s="484"/>
      <c r="Y38" s="487"/>
      <c r="Z38" s="329"/>
      <c r="AA38" s="267" t="s">
        <v>41</v>
      </c>
      <c r="AB38" s="268" t="s">
        <v>61</v>
      </c>
      <c r="AC38" s="268" t="s">
        <v>62</v>
      </c>
      <c r="AD38" s="268" t="s">
        <v>63</v>
      </c>
      <c r="AE38" s="269">
        <v>201</v>
      </c>
    </row>
    <row r="39" spans="1:31" ht="15.75" thickBot="1" x14ac:dyDescent="0.3">
      <c r="A39" s="131">
        <v>35</v>
      </c>
      <c r="B39" s="177" t="s">
        <v>4</v>
      </c>
      <c r="C39" s="21"/>
      <c r="D39" s="21"/>
      <c r="E39" s="21"/>
      <c r="F39" s="21"/>
      <c r="G39" s="22">
        <f ca="1">G38</f>
        <v>-0.33333333333333331</v>
      </c>
      <c r="H39" s="76"/>
      <c r="I39" s="76"/>
      <c r="J39" s="133" t="s">
        <v>4</v>
      </c>
      <c r="K39" s="22">
        <f ca="1">K38+G39</f>
        <v>-0.66666666666666663</v>
      </c>
      <c r="L39" s="22">
        <f ca="1">L38+K39</f>
        <v>-1</v>
      </c>
      <c r="M39" s="22">
        <f t="shared" ref="M39:O39" ca="1" si="41">M38+L39</f>
        <v>-1.3333333333333333</v>
      </c>
      <c r="N39" s="22">
        <f t="shared" ca="1" si="41"/>
        <v>-1.6666666666666665</v>
      </c>
      <c r="O39" s="22">
        <f t="shared" ca="1" si="41"/>
        <v>-1.9999999999999998</v>
      </c>
      <c r="P39" s="76"/>
      <c r="Q39" s="197"/>
      <c r="R39" s="163"/>
      <c r="S39" s="59"/>
      <c r="V39" s="319" t="s">
        <v>0</v>
      </c>
      <c r="W39" s="320"/>
      <c r="X39" s="485"/>
      <c r="Y39" s="486">
        <f t="shared" ref="Y39" si="42">W40-W39</f>
        <v>0</v>
      </c>
      <c r="Z39" s="330"/>
    </row>
    <row r="40" spans="1:31" x14ac:dyDescent="0.25">
      <c r="A40" s="131">
        <v>36</v>
      </c>
      <c r="B40" s="198" t="s">
        <v>9</v>
      </c>
      <c r="C40" s="66" t="s">
        <v>31</v>
      </c>
      <c r="D40" s="66" t="s">
        <v>25</v>
      </c>
      <c r="E40" s="66" t="s">
        <v>26</v>
      </c>
      <c r="F40" s="66" t="s">
        <v>27</v>
      </c>
      <c r="G40" s="258" t="s">
        <v>28</v>
      </c>
      <c r="H40" s="74" t="s">
        <v>29</v>
      </c>
      <c r="I40" s="75" t="s">
        <v>30</v>
      </c>
      <c r="J40" s="68"/>
      <c r="K40" s="66" t="s">
        <v>31</v>
      </c>
      <c r="L40" s="66" t="s">
        <v>25</v>
      </c>
      <c r="M40" s="66" t="s">
        <v>26</v>
      </c>
      <c r="N40" s="66" t="s">
        <v>27</v>
      </c>
      <c r="O40" s="66" t="s">
        <v>28</v>
      </c>
      <c r="P40" s="74">
        <f t="shared" ref="P40:Q40" si="43">P41</f>
        <v>44430</v>
      </c>
      <c r="Q40" s="199">
        <f t="shared" si="43"/>
        <v>44431</v>
      </c>
      <c r="R40" s="163"/>
      <c r="S40" s="59"/>
      <c r="V40" s="314" t="s">
        <v>1</v>
      </c>
      <c r="W40" s="320"/>
      <c r="X40" s="485"/>
      <c r="Y40" s="487"/>
      <c r="Z40" s="329"/>
    </row>
    <row r="41" spans="1:31" ht="15.75" thickBot="1" x14ac:dyDescent="0.3">
      <c r="A41" s="131">
        <v>37</v>
      </c>
      <c r="B41" s="195" t="s">
        <v>5</v>
      </c>
      <c r="C41" s="67">
        <v>44418</v>
      </c>
      <c r="D41" s="67">
        <v>44419</v>
      </c>
      <c r="E41" s="67">
        <v>44420</v>
      </c>
      <c r="F41" s="67">
        <v>44421</v>
      </c>
      <c r="G41" s="67">
        <v>44422</v>
      </c>
      <c r="H41" s="80">
        <v>44423</v>
      </c>
      <c r="I41" s="82">
        <v>44424</v>
      </c>
      <c r="J41" s="70"/>
      <c r="K41" s="67">
        <v>44425</v>
      </c>
      <c r="L41" s="67">
        <v>44426</v>
      </c>
      <c r="M41" s="67">
        <v>44427</v>
      </c>
      <c r="N41" s="67">
        <v>44428</v>
      </c>
      <c r="O41" s="67">
        <v>44429</v>
      </c>
      <c r="P41" s="80">
        <v>44430</v>
      </c>
      <c r="Q41" s="196">
        <v>44431</v>
      </c>
      <c r="R41" s="163"/>
      <c r="S41" s="59"/>
      <c r="V41" s="311" t="s">
        <v>0</v>
      </c>
      <c r="W41" s="312"/>
      <c r="X41" s="488"/>
      <c r="Y41" s="486">
        <f t="shared" ref="Y41" si="44">W42-W41</f>
        <v>0</v>
      </c>
      <c r="Z41" s="330"/>
    </row>
    <row r="42" spans="1:31" x14ac:dyDescent="0.25">
      <c r="A42" s="131">
        <v>38</v>
      </c>
      <c r="B42" s="175" t="s">
        <v>0</v>
      </c>
      <c r="C42" s="331"/>
      <c r="D42" s="331"/>
      <c r="E42" s="331"/>
      <c r="F42" s="331"/>
      <c r="G42" s="331"/>
      <c r="H42" s="76"/>
      <c r="I42" s="76"/>
      <c r="J42" s="132" t="s">
        <v>0</v>
      </c>
      <c r="K42" s="331"/>
      <c r="L42" s="331"/>
      <c r="M42" s="331"/>
      <c r="N42" s="331"/>
      <c r="O42" s="331"/>
      <c r="P42" s="76"/>
      <c r="Q42" s="197"/>
      <c r="R42" s="163"/>
      <c r="S42" s="59"/>
      <c r="V42" s="314" t="s">
        <v>1</v>
      </c>
      <c r="W42" s="315"/>
      <c r="X42" s="489"/>
      <c r="Y42" s="487"/>
      <c r="Z42" s="329"/>
    </row>
    <row r="43" spans="1:31" x14ac:dyDescent="0.25">
      <c r="A43" s="131">
        <v>39</v>
      </c>
      <c r="B43" s="177" t="s">
        <v>1</v>
      </c>
      <c r="C43" s="331"/>
      <c r="D43" s="331"/>
      <c r="E43" s="331"/>
      <c r="F43" s="331"/>
      <c r="G43" s="331"/>
      <c r="H43" s="76"/>
      <c r="I43" s="76"/>
      <c r="J43" s="133" t="s">
        <v>1</v>
      </c>
      <c r="K43" s="331"/>
      <c r="L43" s="331"/>
      <c r="M43" s="331"/>
      <c r="N43" s="331"/>
      <c r="O43" s="331"/>
      <c r="P43" s="76"/>
      <c r="Q43" s="197"/>
      <c r="R43" s="164"/>
      <c r="S43" s="60"/>
      <c r="V43" s="311" t="s">
        <v>0</v>
      </c>
      <c r="W43" s="431"/>
      <c r="X43" s="490"/>
      <c r="Y43" s="486">
        <f t="shared" ref="Y43" si="45">W44-W43</f>
        <v>0</v>
      </c>
      <c r="Z43" s="330"/>
    </row>
    <row r="44" spans="1:31" x14ac:dyDescent="0.25">
      <c r="A44" s="131">
        <v>40</v>
      </c>
      <c r="B44" s="175" t="s">
        <v>0</v>
      </c>
      <c r="C44" s="331"/>
      <c r="D44" s="331"/>
      <c r="E44" s="331"/>
      <c r="F44" s="331"/>
      <c r="G44" s="331"/>
      <c r="H44" s="76"/>
      <c r="I44" s="76"/>
      <c r="J44" s="132" t="s">
        <v>0</v>
      </c>
      <c r="K44" s="331"/>
      <c r="L44" s="331"/>
      <c r="M44" s="331"/>
      <c r="N44" s="331"/>
      <c r="O44" s="331"/>
      <c r="P44" s="76"/>
      <c r="Q44" s="197"/>
      <c r="R44" s="163"/>
      <c r="S44" s="59"/>
      <c r="V44" s="314" t="s">
        <v>1</v>
      </c>
      <c r="W44" s="318"/>
      <c r="X44" s="489"/>
      <c r="Y44" s="487"/>
      <c r="Z44" s="329"/>
    </row>
    <row r="45" spans="1:31" x14ac:dyDescent="0.25">
      <c r="A45" s="131">
        <v>41</v>
      </c>
      <c r="B45" s="177" t="s">
        <v>1</v>
      </c>
      <c r="C45" s="331">
        <f t="shared" ref="C45:G45" ca="1" si="46">IF((C44-C43)&gt;$K$2,$L$2+C42+(C44-C43)-IFERROR(OFFSET($S$5,MATCH(C41,$R$6:$R$165,0),0),),$L$2+C42+$K$2-IFERROR(OFFSET($S$5,MATCH(C41,$R$6:$R$165,0),0),))</f>
        <v>0.36458333333333331</v>
      </c>
      <c r="D45" s="331">
        <f t="shared" ca="1" si="46"/>
        <v>0.36458333333333331</v>
      </c>
      <c r="E45" s="331">
        <f t="shared" ca="1" si="46"/>
        <v>0.36458333333333331</v>
      </c>
      <c r="F45" s="331">
        <f t="shared" ca="1" si="46"/>
        <v>0.36458333333333331</v>
      </c>
      <c r="G45" s="331">
        <f t="shared" ca="1" si="46"/>
        <v>0.36458333333333331</v>
      </c>
      <c r="H45" s="76"/>
      <c r="I45" s="76"/>
      <c r="J45" s="133" t="s">
        <v>1</v>
      </c>
      <c r="K45" s="331">
        <f t="shared" ref="K45:O45" ca="1" si="47">IF((K44-K43)&gt;$K$2,$L$2+K42+(K44-K43)-IFERROR(OFFSET($S$5,MATCH(K41,$R$6:$R$165,0),0),),$L$2+K42+$K$2-IFERROR(OFFSET($S$5,MATCH(K41,$R$6:$R$165,0),0),))</f>
        <v>0.36458333333333331</v>
      </c>
      <c r="L45" s="331">
        <f t="shared" ca="1" si="47"/>
        <v>0.36458333333333331</v>
      </c>
      <c r="M45" s="331">
        <f t="shared" ca="1" si="47"/>
        <v>0.36458333333333331</v>
      </c>
      <c r="N45" s="331">
        <f t="shared" ca="1" si="47"/>
        <v>0.36458333333333331</v>
      </c>
      <c r="O45" s="331">
        <f t="shared" ca="1" si="47"/>
        <v>0.36458333333333331</v>
      </c>
      <c r="P45" s="76"/>
      <c r="Q45" s="197"/>
      <c r="R45" s="164"/>
      <c r="S45" s="61"/>
      <c r="V45" s="311" t="s">
        <v>0</v>
      </c>
      <c r="W45" s="312"/>
      <c r="X45" s="483"/>
      <c r="Y45" s="486">
        <f t="shared" ref="Y45" si="48">W46-W45</f>
        <v>0</v>
      </c>
      <c r="Z45" s="330"/>
    </row>
    <row r="46" spans="1:31" x14ac:dyDescent="0.25">
      <c r="A46" s="131">
        <v>42</v>
      </c>
      <c r="B46" s="177" t="s">
        <v>2</v>
      </c>
      <c r="C46" s="332">
        <f t="shared" ref="C46:G46" ca="1" si="49">IF(COUNT(C42,C43,C44)&gt;0,IF((C44-C43)&gt;$K$2,((C45-C42)-(C44-C43)),((C45-C42-$K$2))),$K$1)  + IFERROR(OFFSET($Y$5,MATCH(C41,$X$6:$X$165,0),0),$K$1) + IFERROR(OFFSET($S$5,MATCH(C41,$R$6:$R$165,0),0),)</f>
        <v>0</v>
      </c>
      <c r="D46" s="332">
        <f t="shared" ca="1" si="49"/>
        <v>0</v>
      </c>
      <c r="E46" s="332">
        <f t="shared" ca="1" si="49"/>
        <v>0</v>
      </c>
      <c r="F46" s="332">
        <f t="shared" ca="1" si="49"/>
        <v>0</v>
      </c>
      <c r="G46" s="332">
        <f t="shared" ca="1" si="49"/>
        <v>0</v>
      </c>
      <c r="H46" s="76"/>
      <c r="I46" s="76"/>
      <c r="J46" s="133" t="s">
        <v>2</v>
      </c>
      <c r="K46" s="332">
        <f t="shared" ref="K46:O46" ca="1" si="50">IF(COUNT(K42,K43,K44)&gt;0,IF((K44-K43)&gt;$K$2,((K45-K42)-(K44-K43)),((K45-K42-$K$2))),$K$1)  + IFERROR(OFFSET($Y$5,MATCH(K41,$X$6:$X$165,0),0),$K$1) + IFERROR(OFFSET($S$5,MATCH(K41,$R$6:$R$165,0),0),)</f>
        <v>0</v>
      </c>
      <c r="L46" s="332">
        <f t="shared" ca="1" si="50"/>
        <v>0</v>
      </c>
      <c r="M46" s="332">
        <f t="shared" ca="1" si="50"/>
        <v>0</v>
      </c>
      <c r="N46" s="332">
        <f t="shared" ca="1" si="50"/>
        <v>0</v>
      </c>
      <c r="O46" s="332">
        <f t="shared" ca="1" si="50"/>
        <v>0</v>
      </c>
      <c r="P46" s="76"/>
      <c r="Q46" s="197"/>
      <c r="R46" s="164"/>
      <c r="S46" s="60"/>
      <c r="V46" s="314" t="s">
        <v>1</v>
      </c>
      <c r="W46" s="315"/>
      <c r="X46" s="484"/>
      <c r="Y46" s="487"/>
      <c r="Z46" s="329"/>
    </row>
    <row r="47" spans="1:31" x14ac:dyDescent="0.25">
      <c r="A47" s="131">
        <v>43</v>
      </c>
      <c r="B47" s="177" t="s">
        <v>3</v>
      </c>
      <c r="C47" s="332">
        <f t="shared" ref="C47:G47" ca="1" si="51">IFERROR(C46+OFFSET($S$5,MATCH(C41,$R$6:$R$165,0),0)-$L$2,C46-$L$2) -IFERROR(OFFSET($S$5,MATCH(C41,$R$6:$R$165,0),0),)</f>
        <v>-0.33333333333333331</v>
      </c>
      <c r="D47" s="332">
        <f t="shared" ca="1" si="51"/>
        <v>-0.33333333333333331</v>
      </c>
      <c r="E47" s="332">
        <f t="shared" ca="1" si="51"/>
        <v>-0.33333333333333331</v>
      </c>
      <c r="F47" s="332">
        <f t="shared" ca="1" si="51"/>
        <v>-0.33333333333333331</v>
      </c>
      <c r="G47" s="332">
        <f t="shared" ca="1" si="51"/>
        <v>-0.33333333333333331</v>
      </c>
      <c r="H47" s="76"/>
      <c r="I47" s="76"/>
      <c r="J47" s="133" t="s">
        <v>3</v>
      </c>
      <c r="K47" s="332">
        <f t="shared" ref="K47:O47" ca="1" si="52">IFERROR(K46+OFFSET($S$5,MATCH(K41,$R$6:$R$165,0),0)-$L$2,K46-$L$2) -IFERROR(OFFSET($S$5,MATCH(K41,$R$6:$R$165,0),0),)</f>
        <v>-0.33333333333333331</v>
      </c>
      <c r="L47" s="332">
        <f t="shared" ca="1" si="52"/>
        <v>-0.33333333333333331</v>
      </c>
      <c r="M47" s="332">
        <f t="shared" ca="1" si="52"/>
        <v>-0.33333333333333331</v>
      </c>
      <c r="N47" s="332">
        <f t="shared" ca="1" si="52"/>
        <v>-0.33333333333333331</v>
      </c>
      <c r="O47" s="332">
        <f t="shared" ca="1" si="52"/>
        <v>-0.33333333333333331</v>
      </c>
      <c r="P47" s="76"/>
      <c r="Q47" s="197"/>
      <c r="R47" s="164"/>
      <c r="S47" s="60"/>
      <c r="V47" s="311" t="s">
        <v>0</v>
      </c>
      <c r="W47" s="317"/>
      <c r="X47" s="483"/>
      <c r="Y47" s="486">
        <f t="shared" ref="Y47" si="53">W48-W47</f>
        <v>0</v>
      </c>
      <c r="Z47" s="330"/>
    </row>
    <row r="48" spans="1:31" ht="15.75" thickBot="1" x14ac:dyDescent="0.3">
      <c r="A48" s="131">
        <v>44</v>
      </c>
      <c r="B48" s="177" t="s">
        <v>4</v>
      </c>
      <c r="C48" s="22">
        <f ca="1">C47+O39</f>
        <v>-2.333333333333333</v>
      </c>
      <c r="D48" s="22">
        <f ca="1">D47+C48</f>
        <v>-2.6666666666666665</v>
      </c>
      <c r="E48" s="22">
        <f t="shared" ref="E48:G48" ca="1" si="54">E47+D48</f>
        <v>-3</v>
      </c>
      <c r="F48" s="22">
        <f t="shared" ca="1" si="54"/>
        <v>-3.3333333333333335</v>
      </c>
      <c r="G48" s="22">
        <f t="shared" ca="1" si="54"/>
        <v>-3.666666666666667</v>
      </c>
      <c r="H48" s="77"/>
      <c r="I48" s="76"/>
      <c r="J48" s="133" t="s">
        <v>4</v>
      </c>
      <c r="K48" s="22">
        <f ca="1">K47+G48</f>
        <v>-4</v>
      </c>
      <c r="L48" s="22">
        <f t="shared" ref="L48" ca="1" si="55">L47+K48</f>
        <v>-4.333333333333333</v>
      </c>
      <c r="M48" s="22">
        <f t="shared" ref="M48" ca="1" si="56">M47+L48</f>
        <v>-4.6666666666666661</v>
      </c>
      <c r="N48" s="22">
        <f t="shared" ref="N48" ca="1" si="57">N47+M48</f>
        <v>-4.9999999999999991</v>
      </c>
      <c r="O48" s="22">
        <f t="shared" ref="O48" ca="1" si="58">O47+N48</f>
        <v>-5.3333333333333321</v>
      </c>
      <c r="P48" s="76"/>
      <c r="Q48" s="197"/>
      <c r="R48" s="164"/>
      <c r="S48" s="60"/>
      <c r="V48" s="314" t="s">
        <v>1</v>
      </c>
      <c r="W48" s="318"/>
      <c r="X48" s="484"/>
      <c r="Y48" s="487"/>
      <c r="Z48" s="329"/>
    </row>
    <row r="49" spans="1:31" x14ac:dyDescent="0.25">
      <c r="A49" s="131">
        <v>45</v>
      </c>
      <c r="B49" s="198" t="s">
        <v>9</v>
      </c>
      <c r="C49" s="258" t="s">
        <v>31</v>
      </c>
      <c r="D49" s="66" t="s">
        <v>25</v>
      </c>
      <c r="E49" s="66" t="s">
        <v>26</v>
      </c>
      <c r="F49" s="258" t="s">
        <v>27</v>
      </c>
      <c r="G49" s="66" t="s">
        <v>28</v>
      </c>
      <c r="H49" s="74" t="s">
        <v>29</v>
      </c>
      <c r="I49" s="75" t="s">
        <v>30</v>
      </c>
      <c r="J49" s="36"/>
      <c r="K49" s="2"/>
      <c r="L49" s="2"/>
      <c r="M49" s="2"/>
      <c r="N49" s="2"/>
      <c r="O49" s="2"/>
      <c r="P49" s="74"/>
      <c r="Q49" s="199"/>
      <c r="R49" s="164"/>
      <c r="S49" s="60"/>
      <c r="V49" s="311" t="s">
        <v>0</v>
      </c>
      <c r="W49" s="317"/>
      <c r="X49" s="483"/>
      <c r="Y49" s="486">
        <f t="shared" ref="Y49" si="59">W50-W49</f>
        <v>0</v>
      </c>
      <c r="Z49" s="330"/>
    </row>
    <row r="50" spans="1:31" ht="15.75" thickBot="1" x14ac:dyDescent="0.3">
      <c r="A50" s="131">
        <v>46</v>
      </c>
      <c r="B50" s="195" t="s">
        <v>5</v>
      </c>
      <c r="C50" s="67">
        <v>44432</v>
      </c>
      <c r="D50" s="67">
        <v>44433</v>
      </c>
      <c r="E50" s="67">
        <v>44434</v>
      </c>
      <c r="F50" s="67">
        <v>44435</v>
      </c>
      <c r="G50" s="67">
        <v>44436</v>
      </c>
      <c r="H50" s="80">
        <v>44437</v>
      </c>
      <c r="I50" s="81">
        <v>44438</v>
      </c>
      <c r="J50" s="38"/>
      <c r="K50" s="3"/>
      <c r="L50" s="3"/>
      <c r="M50" s="3"/>
      <c r="N50" s="3"/>
      <c r="O50" s="3"/>
      <c r="P50" s="80"/>
      <c r="Q50" s="196"/>
      <c r="R50" s="164"/>
      <c r="S50" s="60"/>
      <c r="V50" s="314" t="s">
        <v>1</v>
      </c>
      <c r="W50" s="318"/>
      <c r="X50" s="484"/>
      <c r="Y50" s="487"/>
      <c r="Z50" s="329"/>
    </row>
    <row r="51" spans="1:31" x14ac:dyDescent="0.25">
      <c r="A51" s="131">
        <v>47</v>
      </c>
      <c r="B51" s="175" t="s">
        <v>0</v>
      </c>
      <c r="C51" s="331"/>
      <c r="D51" s="331"/>
      <c r="E51" s="331"/>
      <c r="F51" s="331"/>
      <c r="G51" s="331"/>
      <c r="H51" s="76"/>
      <c r="I51" s="78"/>
      <c r="J51" s="39"/>
      <c r="K51" s="17"/>
      <c r="L51" s="17"/>
      <c r="M51" s="18"/>
      <c r="N51" s="16"/>
      <c r="O51" s="16"/>
      <c r="P51" s="76"/>
      <c r="Q51" s="197"/>
      <c r="R51" s="164"/>
      <c r="S51" s="60"/>
      <c r="V51" s="319" t="s">
        <v>0</v>
      </c>
      <c r="W51" s="320"/>
      <c r="X51" s="485"/>
      <c r="Y51" s="486">
        <f t="shared" ref="Y51" si="60">W52-W51</f>
        <v>0</v>
      </c>
      <c r="Z51" s="330"/>
    </row>
    <row r="52" spans="1:31" x14ac:dyDescent="0.25">
      <c r="A52" s="131">
        <v>48</v>
      </c>
      <c r="B52" s="177" t="s">
        <v>1</v>
      </c>
      <c r="C52" s="331"/>
      <c r="D52" s="331"/>
      <c r="E52" s="331"/>
      <c r="F52" s="331"/>
      <c r="G52" s="331"/>
      <c r="H52" s="76"/>
      <c r="I52" s="79"/>
      <c r="J52" s="40"/>
      <c r="K52" s="16"/>
      <c r="L52" s="16"/>
      <c r="M52" s="18"/>
      <c r="N52" s="16"/>
      <c r="O52" s="16"/>
      <c r="P52" s="76"/>
      <c r="Q52" s="197"/>
      <c r="R52" s="164"/>
      <c r="S52" s="60"/>
      <c r="V52" s="314" t="s">
        <v>1</v>
      </c>
      <c r="W52" s="320"/>
      <c r="X52" s="485"/>
      <c r="Y52" s="487"/>
      <c r="Z52" s="329"/>
    </row>
    <row r="53" spans="1:31" x14ac:dyDescent="0.25">
      <c r="A53" s="131">
        <v>49</v>
      </c>
      <c r="B53" s="175" t="s">
        <v>0</v>
      </c>
      <c r="C53" s="331"/>
      <c r="D53" s="331"/>
      <c r="E53" s="331"/>
      <c r="F53" s="331"/>
      <c r="G53" s="331"/>
      <c r="H53" s="76"/>
      <c r="I53" s="79"/>
      <c r="J53" s="41"/>
      <c r="K53" s="16"/>
      <c r="L53" s="16"/>
      <c r="M53" s="18"/>
      <c r="N53" s="16"/>
      <c r="O53" s="16"/>
      <c r="P53" s="76"/>
      <c r="Q53" s="197"/>
      <c r="R53" s="164"/>
      <c r="S53" s="60"/>
      <c r="V53" s="311" t="s">
        <v>0</v>
      </c>
      <c r="W53" s="312"/>
      <c r="X53" s="488"/>
      <c r="Y53" s="486">
        <f t="shared" ref="Y53" si="61">W54-W53</f>
        <v>0</v>
      </c>
      <c r="Z53" s="330"/>
    </row>
    <row r="54" spans="1:31" x14ac:dyDescent="0.25">
      <c r="A54" s="131">
        <v>50</v>
      </c>
      <c r="B54" s="177" t="s">
        <v>1</v>
      </c>
      <c r="C54" s="331">
        <f t="shared" ref="C54" ca="1" si="62">IF((C53-C52)&gt;$K$2,$L$2+C51+(C53-C52)-IFERROR(OFFSET($S$5,MATCH(C50,$R$6:$R$165,0),0),),$L$2+C51+$K$2-IFERROR(OFFSET($S$5,MATCH(C50,$R$6:$R$165,0),0),))</f>
        <v>0.36458333333333331</v>
      </c>
      <c r="D54" s="331">
        <f t="shared" ref="D54" ca="1" si="63">IF((D53-D52)&gt;$K$2,$L$2+D51+(D53-D52)-IFERROR(OFFSET($S$5,MATCH(D50,$R$6:$R$165,0),0),),$L$2+D51+$K$2-IFERROR(OFFSET($S$5,MATCH(D50,$R$6:$R$165,0),0),))</f>
        <v>0.36458333333333331</v>
      </c>
      <c r="E54" s="331">
        <f t="shared" ref="E54" ca="1" si="64">IF((E53-E52)&gt;$K$2,$L$2+E51+(E53-E52)-IFERROR(OFFSET($S$5,MATCH(E50,$R$6:$R$165,0),0),),$L$2+E51+$K$2-IFERROR(OFFSET($S$5,MATCH(E50,$R$6:$R$165,0),0),))</f>
        <v>0.36458333333333331</v>
      </c>
      <c r="F54" s="331">
        <f t="shared" ref="F54" ca="1" si="65">IF((F53-F52)&gt;$K$2,$L$2+F51+(F53-F52)-IFERROR(OFFSET($S$5,MATCH(F50,$R$6:$R$165,0),0),),$L$2+F51+$K$2-IFERROR(OFFSET($S$5,MATCH(F50,$R$6:$R$165,0),0),))</f>
        <v>0.36458333333333331</v>
      </c>
      <c r="G54" s="331">
        <f t="shared" ref="G54" ca="1" si="66">IF((G53-G52)&gt;$K$2,$L$2+G51+(G53-G52)-IFERROR(OFFSET($S$5,MATCH(G50,$R$6:$R$165,0),0),),$L$2+G51+$K$2-IFERROR(OFFSET($S$5,MATCH(G50,$R$6:$R$165,0),0),))</f>
        <v>0.36458333333333331</v>
      </c>
      <c r="H54" s="76"/>
      <c r="I54" s="79"/>
      <c r="J54" s="40"/>
      <c r="K54" s="16"/>
      <c r="L54" s="16"/>
      <c r="M54" s="18"/>
      <c r="N54" s="16"/>
      <c r="O54" s="16"/>
      <c r="P54" s="76"/>
      <c r="Q54" s="197"/>
      <c r="R54" s="164"/>
      <c r="S54" s="60"/>
      <c r="V54" s="314" t="s">
        <v>1</v>
      </c>
      <c r="W54" s="315"/>
      <c r="X54" s="489"/>
      <c r="Y54" s="487"/>
      <c r="Z54" s="329"/>
    </row>
    <row r="55" spans="1:31" x14ac:dyDescent="0.25">
      <c r="A55" s="131">
        <v>51</v>
      </c>
      <c r="B55" s="177" t="s">
        <v>2</v>
      </c>
      <c r="C55" s="332">
        <f t="shared" ref="C55" ca="1" si="67">IF(COUNT(C51,C52,C53)&gt;0,IF((C53-C52)&gt;$K$2,((C54-C51)-(C53-C52)),((C54-C51-$K$2))),$K$1)  + IFERROR(OFFSET($Y$5,MATCH(C50,$X$6:$X$165,0),0),$K$1) + IFERROR(OFFSET($S$5,MATCH(C50,$R$6:$R$165,0),0),)</f>
        <v>0</v>
      </c>
      <c r="D55" s="332">
        <f t="shared" ref="D55" ca="1" si="68">IF(COUNT(D51,D52,D53)&gt;0,IF((D53-D52)&gt;$K$2,((D54-D51)-(D53-D52)),((D54-D51-$K$2))),$K$1)  + IFERROR(OFFSET($Y$5,MATCH(D50,$X$6:$X$165,0),0),$K$1) + IFERROR(OFFSET($S$5,MATCH(D50,$R$6:$R$165,0),0),)</f>
        <v>0</v>
      </c>
      <c r="E55" s="332">
        <f t="shared" ref="E55" ca="1" si="69">IF(COUNT(E51,E52,E53)&gt;0,IF((E53-E52)&gt;$K$2,((E54-E51)-(E53-E52)),((E54-E51-$K$2))),$K$1)  + IFERROR(OFFSET($Y$5,MATCH(E50,$X$6:$X$165,0),0),$K$1) + IFERROR(OFFSET($S$5,MATCH(E50,$R$6:$R$165,0),0),)</f>
        <v>0</v>
      </c>
      <c r="F55" s="332">
        <f t="shared" ref="F55" ca="1" si="70">IF(COUNT(F51,F52,F53)&gt;0,IF((F53-F52)&gt;$K$2,((F54-F51)-(F53-F52)),((F54-F51-$K$2))),$K$1)  + IFERROR(OFFSET($Y$5,MATCH(F50,$X$6:$X$165,0),0),$K$1) + IFERROR(OFFSET($S$5,MATCH(F50,$R$6:$R$165,0),0),)</f>
        <v>0</v>
      </c>
      <c r="G55" s="332">
        <f t="shared" ref="G55" ca="1" si="71">IF(COUNT(G51,G52,G53)&gt;0,IF((G53-G52)&gt;$K$2,((G54-G51)-(G53-G52)),((G54-G51-$K$2))),$K$1)  + IFERROR(OFFSET($Y$5,MATCH(G50,$X$6:$X$165,0),0),$K$1) + IFERROR(OFFSET($S$5,MATCH(G50,$R$6:$R$165,0),0),)</f>
        <v>0</v>
      </c>
      <c r="H55" s="76"/>
      <c r="I55" s="79"/>
      <c r="J55" s="40"/>
      <c r="K55" s="19"/>
      <c r="L55" s="19"/>
      <c r="M55" s="20"/>
      <c r="N55" s="19"/>
      <c r="O55" s="19"/>
      <c r="P55" s="76"/>
      <c r="Q55" s="197"/>
      <c r="R55" s="164"/>
      <c r="S55" s="60"/>
      <c r="V55" s="311" t="s">
        <v>0</v>
      </c>
      <c r="W55" s="320"/>
      <c r="X55" s="485"/>
      <c r="Y55" s="486">
        <f t="shared" ref="Y55" si="72">W56-W55</f>
        <v>0</v>
      </c>
      <c r="Z55" s="330"/>
    </row>
    <row r="56" spans="1:31" x14ac:dyDescent="0.25">
      <c r="A56" s="131">
        <v>52</v>
      </c>
      <c r="B56" s="177" t="s">
        <v>3</v>
      </c>
      <c r="C56" s="332">
        <f t="shared" ref="C56" ca="1" si="73">IFERROR(C55+OFFSET($S$5,MATCH(C50,$R$6:$R$165,0),0)-$L$2,C55-$L$2) -IFERROR(OFFSET($S$5,MATCH(C50,$R$6:$R$165,0),0),)</f>
        <v>-0.33333333333333331</v>
      </c>
      <c r="D56" s="332">
        <f t="shared" ref="D56" ca="1" si="74">IFERROR(D55+OFFSET($S$5,MATCH(D50,$R$6:$R$165,0),0)-$L$2,D55-$L$2) -IFERROR(OFFSET($S$5,MATCH(D50,$R$6:$R$165,0),0),)</f>
        <v>-0.33333333333333331</v>
      </c>
      <c r="E56" s="332">
        <f t="shared" ref="E56" ca="1" si="75">IFERROR(E55+OFFSET($S$5,MATCH(E50,$R$6:$R$165,0),0)-$L$2,E55-$L$2) -IFERROR(OFFSET($S$5,MATCH(E50,$R$6:$R$165,0),0),)</f>
        <v>-0.33333333333333331</v>
      </c>
      <c r="F56" s="332">
        <f t="shared" ref="F56" ca="1" si="76">IFERROR(F55+OFFSET($S$5,MATCH(F50,$R$6:$R$165,0),0)-$L$2,F55-$L$2) -IFERROR(OFFSET($S$5,MATCH(F50,$R$6:$R$165,0),0),)</f>
        <v>-0.33333333333333331</v>
      </c>
      <c r="G56" s="332">
        <f t="shared" ref="G56" ca="1" si="77">IFERROR(G55+OFFSET($S$5,MATCH(G50,$R$6:$R$165,0),0)-$L$2,G55-$L$2) -IFERROR(OFFSET($S$5,MATCH(G50,$R$6:$R$165,0),0),)</f>
        <v>-0.33333333333333331</v>
      </c>
      <c r="H56" s="76"/>
      <c r="I56" s="79"/>
      <c r="J56" s="40"/>
      <c r="K56" s="19"/>
      <c r="L56" s="19"/>
      <c r="M56" s="19"/>
      <c r="N56" s="19"/>
      <c r="O56" s="19"/>
      <c r="P56" s="76"/>
      <c r="Q56" s="197"/>
      <c r="R56" s="164"/>
      <c r="S56" s="60"/>
      <c r="V56" s="314" t="s">
        <v>1</v>
      </c>
      <c r="W56" s="315"/>
      <c r="X56" s="489"/>
      <c r="Y56" s="487"/>
      <c r="Z56" s="329"/>
    </row>
    <row r="57" spans="1:31" ht="15.75" thickBot="1" x14ac:dyDescent="0.3">
      <c r="A57" s="131">
        <v>53</v>
      </c>
      <c r="B57" s="184" t="s">
        <v>4</v>
      </c>
      <c r="C57" s="22">
        <f ca="1">C56+O48</f>
        <v>-5.6666666666666652</v>
      </c>
      <c r="D57" s="22">
        <f t="shared" ref="D57" ca="1" si="78">D56+C57</f>
        <v>-5.9999999999999982</v>
      </c>
      <c r="E57" s="22">
        <f t="shared" ref="E57" ca="1" si="79">E56+D57</f>
        <v>-6.3333333333333313</v>
      </c>
      <c r="F57" s="22">
        <f t="shared" ref="F57" ca="1" si="80">F56+E57</f>
        <v>-6.6666666666666643</v>
      </c>
      <c r="G57" s="22">
        <f t="shared" ref="G57" ca="1" si="81">G56+F57</f>
        <v>-6.9999999999999973</v>
      </c>
      <c r="H57" s="200"/>
      <c r="I57" s="201"/>
      <c r="J57" s="202"/>
      <c r="K57" s="186"/>
      <c r="L57" s="190"/>
      <c r="M57" s="190"/>
      <c r="N57" s="190"/>
      <c r="O57" s="186"/>
      <c r="P57" s="200"/>
      <c r="Q57" s="203"/>
      <c r="R57" s="165"/>
      <c r="S57" s="62"/>
    </row>
    <row r="58" spans="1:31" ht="16.5" thickTop="1" thickBot="1" x14ac:dyDescent="0.3">
      <c r="A58" s="131">
        <v>54</v>
      </c>
      <c r="B58" s="204" t="s">
        <v>32</v>
      </c>
      <c r="C58" s="168" t="s">
        <v>31</v>
      </c>
      <c r="D58" s="168" t="s">
        <v>25</v>
      </c>
      <c r="E58" s="168" t="s">
        <v>26</v>
      </c>
      <c r="F58" s="168" t="s">
        <v>27</v>
      </c>
      <c r="G58" s="168" t="s">
        <v>28</v>
      </c>
      <c r="H58" s="205">
        <f t="shared" ref="H58:I58" si="82">H59</f>
        <v>44444</v>
      </c>
      <c r="I58" s="206">
        <f t="shared" si="82"/>
        <v>44445</v>
      </c>
      <c r="J58" s="207"/>
      <c r="K58" s="168" t="s">
        <v>31</v>
      </c>
      <c r="L58" s="168" t="s">
        <v>25</v>
      </c>
      <c r="M58" s="168" t="s">
        <v>26</v>
      </c>
      <c r="N58" s="168" t="s">
        <v>27</v>
      </c>
      <c r="O58" s="168" t="s">
        <v>28</v>
      </c>
      <c r="P58" s="205">
        <f t="shared" ref="P58:Q58" si="83">P59</f>
        <v>44451</v>
      </c>
      <c r="Q58" s="270">
        <f t="shared" si="83"/>
        <v>44452</v>
      </c>
      <c r="R58" s="468" t="s">
        <v>16</v>
      </c>
      <c r="S58" s="469"/>
      <c r="T58" s="470" t="s">
        <v>17</v>
      </c>
      <c r="U58" s="471"/>
      <c r="V58" s="480" t="s">
        <v>117</v>
      </c>
      <c r="W58" s="481"/>
      <c r="X58" s="481"/>
      <c r="Y58" s="482"/>
      <c r="Z58" s="328"/>
      <c r="AA58" s="450" t="s">
        <v>36</v>
      </c>
      <c r="AB58" s="451"/>
      <c r="AC58" s="451"/>
      <c r="AD58" s="451"/>
      <c r="AE58" s="452"/>
    </row>
    <row r="59" spans="1:31" ht="15.75" thickBot="1" x14ac:dyDescent="0.3">
      <c r="A59" s="131">
        <v>55</v>
      </c>
      <c r="B59" s="208" t="s">
        <v>5</v>
      </c>
      <c r="C59" s="84">
        <v>44439</v>
      </c>
      <c r="D59" s="84">
        <v>44440</v>
      </c>
      <c r="E59" s="84">
        <v>44441</v>
      </c>
      <c r="F59" s="84">
        <v>44442</v>
      </c>
      <c r="G59" s="84">
        <v>44443</v>
      </c>
      <c r="H59" s="103">
        <v>44444</v>
      </c>
      <c r="I59" s="104">
        <v>44445</v>
      </c>
      <c r="J59" s="85"/>
      <c r="K59" s="84">
        <v>44446</v>
      </c>
      <c r="L59" s="84">
        <v>44447</v>
      </c>
      <c r="M59" s="84">
        <v>44448</v>
      </c>
      <c r="N59" s="84">
        <v>44449</v>
      </c>
      <c r="O59" s="84">
        <v>44450</v>
      </c>
      <c r="P59" s="103">
        <v>44451</v>
      </c>
      <c r="Q59" s="209">
        <v>44452</v>
      </c>
      <c r="R59" s="162" t="s">
        <v>14</v>
      </c>
      <c r="S59" s="58" t="s">
        <v>15</v>
      </c>
      <c r="T59" s="64" t="s">
        <v>21</v>
      </c>
      <c r="U59" s="65" t="s">
        <v>18</v>
      </c>
      <c r="V59" s="308"/>
      <c r="W59" s="309" t="s">
        <v>15</v>
      </c>
      <c r="X59" s="310" t="s">
        <v>14</v>
      </c>
      <c r="Y59" s="310" t="s">
        <v>118</v>
      </c>
      <c r="Z59" s="329"/>
      <c r="AA59" s="453"/>
      <c r="AB59" s="454"/>
      <c r="AC59" s="454"/>
      <c r="AD59" s="454"/>
      <c r="AE59" s="455"/>
    </row>
    <row r="60" spans="1:31" ht="15.75" x14ac:dyDescent="0.25">
      <c r="A60" s="131">
        <v>56</v>
      </c>
      <c r="B60" s="175" t="s">
        <v>0</v>
      </c>
      <c r="C60" s="335"/>
      <c r="D60" s="336"/>
      <c r="E60" s="337"/>
      <c r="F60" s="335"/>
      <c r="G60" s="335"/>
      <c r="H60" s="105"/>
      <c r="I60" s="105"/>
      <c r="J60" s="132" t="s">
        <v>0</v>
      </c>
      <c r="K60" s="335"/>
      <c r="L60" s="335"/>
      <c r="M60" s="335"/>
      <c r="N60" s="335"/>
      <c r="O60" s="335"/>
      <c r="P60" s="105"/>
      <c r="Q60" s="210"/>
      <c r="R60" s="163"/>
      <c r="S60" s="59"/>
      <c r="V60" s="311" t="s">
        <v>0</v>
      </c>
      <c r="W60" s="312"/>
      <c r="X60" s="483"/>
      <c r="Y60" s="313">
        <f>W61-W60</f>
        <v>0</v>
      </c>
      <c r="Z60" s="330"/>
      <c r="AA60" s="300" t="s">
        <v>72</v>
      </c>
      <c r="AB60" s="301" t="s">
        <v>64</v>
      </c>
      <c r="AC60" s="301" t="s">
        <v>65</v>
      </c>
      <c r="AD60" s="301" t="s">
        <v>66</v>
      </c>
      <c r="AE60" s="302" t="s">
        <v>67</v>
      </c>
    </row>
    <row r="61" spans="1:31" ht="16.5" thickBot="1" x14ac:dyDescent="0.3">
      <c r="A61" s="131">
        <v>57</v>
      </c>
      <c r="B61" s="177" t="s">
        <v>1</v>
      </c>
      <c r="C61" s="335"/>
      <c r="D61" s="335"/>
      <c r="E61" s="337"/>
      <c r="F61" s="335"/>
      <c r="G61" s="335"/>
      <c r="H61" s="105"/>
      <c r="I61" s="105"/>
      <c r="J61" s="133" t="s">
        <v>1</v>
      </c>
      <c r="K61" s="335"/>
      <c r="L61" s="335"/>
      <c r="M61" s="335"/>
      <c r="N61" s="335"/>
      <c r="O61" s="335"/>
      <c r="P61" s="105"/>
      <c r="Q61" s="210"/>
      <c r="R61" s="163"/>
      <c r="S61" s="59"/>
      <c r="V61" s="314" t="s">
        <v>1</v>
      </c>
      <c r="W61" s="315"/>
      <c r="X61" s="484"/>
      <c r="Y61" s="316"/>
      <c r="Z61" s="329"/>
      <c r="AA61" s="303" t="s">
        <v>73</v>
      </c>
      <c r="AB61" s="304" t="s">
        <v>68</v>
      </c>
      <c r="AC61" s="304" t="s">
        <v>69</v>
      </c>
      <c r="AD61" s="304" t="s">
        <v>70</v>
      </c>
      <c r="AE61" s="305" t="s">
        <v>71</v>
      </c>
    </row>
    <row r="62" spans="1:31" x14ac:dyDescent="0.25">
      <c r="A62" s="131">
        <v>58</v>
      </c>
      <c r="B62" s="175" t="s">
        <v>0</v>
      </c>
      <c r="C62" s="335"/>
      <c r="D62" s="335"/>
      <c r="E62" s="337"/>
      <c r="F62" s="335"/>
      <c r="G62" s="335"/>
      <c r="H62" s="105"/>
      <c r="I62" s="105"/>
      <c r="J62" s="132" t="s">
        <v>0</v>
      </c>
      <c r="K62" s="335"/>
      <c r="L62" s="335"/>
      <c r="M62" s="335"/>
      <c r="N62" s="335"/>
      <c r="O62" s="335"/>
      <c r="P62" s="105"/>
      <c r="Q62" s="210"/>
      <c r="R62" s="163"/>
      <c r="S62" s="59"/>
      <c r="V62" s="311" t="s">
        <v>0</v>
      </c>
      <c r="W62" s="317"/>
      <c r="X62" s="483"/>
      <c r="Y62" s="313">
        <f>W63-W62</f>
        <v>0</v>
      </c>
      <c r="Z62" s="330"/>
    </row>
    <row r="63" spans="1:31" x14ac:dyDescent="0.25">
      <c r="A63" s="131">
        <v>59</v>
      </c>
      <c r="B63" s="177" t="s">
        <v>1</v>
      </c>
      <c r="C63" s="331">
        <f t="shared" ref="C63" ca="1" si="84">IF((C62-C61)&gt;$K$2,$L$2+C60+(C62-C61)-IFERROR(OFFSET($S$5,MATCH(C59,$R$6:$R$165,0),0),),$L$2+C60+$K$2-IFERROR(OFFSET($S$5,MATCH(C59,$R$6:$R$165,0),0),))</f>
        <v>0.36458333333333331</v>
      </c>
      <c r="D63" s="331">
        <f t="shared" ref="D63" ca="1" si="85">IF((D62-D61)&gt;$K$2,$L$2+D60+(D62-D61)-IFERROR(OFFSET($S$5,MATCH(D59,$R$6:$R$165,0),0),),$L$2+D60+$K$2-IFERROR(OFFSET($S$5,MATCH(D59,$R$6:$R$165,0),0),))</f>
        <v>0.36458333333333331</v>
      </c>
      <c r="E63" s="331">
        <f t="shared" ref="E63" ca="1" si="86">IF((E62-E61)&gt;$K$2,$L$2+E60+(E62-E61)-IFERROR(OFFSET($S$5,MATCH(E59,$R$6:$R$165,0),0),),$L$2+E60+$K$2-IFERROR(OFFSET($S$5,MATCH(E59,$R$6:$R$165,0),0),))</f>
        <v>0.36458333333333331</v>
      </c>
      <c r="F63" s="331">
        <f t="shared" ref="F63" ca="1" si="87">IF((F62-F61)&gt;$K$2,$L$2+F60+(F62-F61)-IFERROR(OFFSET($S$5,MATCH(F59,$R$6:$R$165,0),0),),$L$2+F60+$K$2-IFERROR(OFFSET($S$5,MATCH(F59,$R$6:$R$165,0),0),))</f>
        <v>0.36458333333333331</v>
      </c>
      <c r="G63" s="331">
        <f t="shared" ref="G63" ca="1" si="88">IF((G62-G61)&gt;$K$2,$L$2+G60+(G62-G61)-IFERROR(OFFSET($S$5,MATCH(G59,$R$6:$R$165,0),0),),$L$2+G60+$K$2-IFERROR(OFFSET($S$5,MATCH(G59,$R$6:$R$165,0),0),))</f>
        <v>0.36458333333333331</v>
      </c>
      <c r="H63" s="105"/>
      <c r="I63" s="105"/>
      <c r="J63" s="133" t="s">
        <v>1</v>
      </c>
      <c r="K63" s="331">
        <f t="shared" ref="K63" ca="1" si="89">IF((K62-K61)&gt;$K$2,$L$2+K60+(K62-K61)-IFERROR(OFFSET($S$5,MATCH(K59,$R$6:$R$165,0),0),),$L$2+K60+$K$2-IFERROR(OFFSET($S$5,MATCH(K59,$R$6:$R$165,0),0),))</f>
        <v>0.36458333333333331</v>
      </c>
      <c r="L63" s="331">
        <f t="shared" ref="L63" ca="1" si="90">IF((L62-L61)&gt;$K$2,$L$2+L60+(L62-L61)-IFERROR(OFFSET($S$5,MATCH(L59,$R$6:$R$165,0),0),),$L$2+L60+$K$2-IFERROR(OFFSET($S$5,MATCH(L59,$R$6:$R$165,0),0),))</f>
        <v>0.36458333333333331</v>
      </c>
      <c r="M63" s="331">
        <f t="shared" ref="M63" ca="1" si="91">IF((M62-M61)&gt;$K$2,$L$2+M60+(M62-M61)-IFERROR(OFFSET($S$5,MATCH(M59,$R$6:$R$165,0),0),),$L$2+M60+$K$2-IFERROR(OFFSET($S$5,MATCH(M59,$R$6:$R$165,0),0),))</f>
        <v>0.36458333333333331</v>
      </c>
      <c r="N63" s="331">
        <f t="shared" ref="N63" ca="1" si="92">IF((N62-N61)&gt;$K$2,$L$2+N60+(N62-N61)-IFERROR(OFFSET($S$5,MATCH(N59,$R$6:$R$165,0),0),),$L$2+N60+$K$2-IFERROR(OFFSET($S$5,MATCH(N59,$R$6:$R$165,0),0),))</f>
        <v>0.36458333333333331</v>
      </c>
      <c r="O63" s="331">
        <f t="shared" ref="O63" ca="1" si="93">IF((O62-O61)&gt;$K$2,$L$2+O60+(O62-O61)-IFERROR(OFFSET($S$5,MATCH(O59,$R$6:$R$165,0),0),),$L$2+O60+$K$2-IFERROR(OFFSET($S$5,MATCH(O59,$R$6:$R$165,0),0),))</f>
        <v>0.36458333333333331</v>
      </c>
      <c r="P63" s="105"/>
      <c r="Q63" s="210"/>
      <c r="R63" s="163"/>
      <c r="S63" s="59"/>
      <c r="V63" s="314" t="s">
        <v>1</v>
      </c>
      <c r="W63" s="318"/>
      <c r="X63" s="484"/>
      <c r="Y63" s="316"/>
      <c r="Z63" s="329"/>
    </row>
    <row r="64" spans="1:31" x14ac:dyDescent="0.25">
      <c r="A64" s="131">
        <v>60</v>
      </c>
      <c r="B64" s="177" t="s">
        <v>2</v>
      </c>
      <c r="C64" s="332">
        <f t="shared" ref="C64" ca="1" si="94">IF(COUNT(C60,C61,C62)&gt;0,IF((C62-C61)&gt;$K$2,((C63-C60)-(C62-C61)),((C63-C60-$K$2))),$K$1)  + IFERROR(OFFSET($Y$5,MATCH(C59,$X$6:$X$165,0),0),$K$1) + IFERROR(OFFSET($S$5,MATCH(C59,$R$6:$R$165,0),0),)</f>
        <v>0</v>
      </c>
      <c r="D64" s="332">
        <f t="shared" ref="D64" ca="1" si="95">IF(COUNT(D60,D61,D62)&gt;0,IF((D62-D61)&gt;$K$2,((D63-D60)-(D62-D61)),((D63-D60-$K$2))),$K$1)  + IFERROR(OFFSET($Y$5,MATCH(D59,$X$6:$X$165,0),0),$K$1) + IFERROR(OFFSET($S$5,MATCH(D59,$R$6:$R$165,0),0),)</f>
        <v>0</v>
      </c>
      <c r="E64" s="332">
        <f t="shared" ref="E64" ca="1" si="96">IF(COUNT(E60,E61,E62)&gt;0,IF((E62-E61)&gt;$K$2,((E63-E60)-(E62-E61)),((E63-E60-$K$2))),$K$1)  + IFERROR(OFFSET($Y$5,MATCH(E59,$X$6:$X$165,0),0),$K$1) + IFERROR(OFFSET($S$5,MATCH(E59,$R$6:$R$165,0),0),)</f>
        <v>0</v>
      </c>
      <c r="F64" s="332">
        <f t="shared" ref="F64" ca="1" si="97">IF(COUNT(F60,F61,F62)&gt;0,IF((F62-F61)&gt;$K$2,((F63-F60)-(F62-F61)),((F63-F60-$K$2))),$K$1)  + IFERROR(OFFSET($Y$5,MATCH(F59,$X$6:$X$165,0),0),$K$1) + IFERROR(OFFSET($S$5,MATCH(F59,$R$6:$R$165,0),0),)</f>
        <v>0</v>
      </c>
      <c r="G64" s="332">
        <f t="shared" ref="G64" ca="1" si="98">IF(COUNT(G60,G61,G62)&gt;0,IF((G62-G61)&gt;$K$2,((G63-G60)-(G62-G61)),((G63-G60-$K$2))),$K$1)  + IFERROR(OFFSET($Y$5,MATCH(G59,$X$6:$X$165,0),0),$K$1) + IFERROR(OFFSET($S$5,MATCH(G59,$R$6:$R$165,0),0),)</f>
        <v>0</v>
      </c>
      <c r="H64" s="105"/>
      <c r="I64" s="105"/>
      <c r="J64" s="133" t="s">
        <v>2</v>
      </c>
      <c r="K64" s="332">
        <f t="shared" ref="K64" ca="1" si="99">IF(COUNT(K60,K61,K62)&gt;0,IF((K62-K61)&gt;$K$2,((K63-K60)-(K62-K61)),((K63-K60-$K$2))),$K$1)  + IFERROR(OFFSET($Y$5,MATCH(K59,$X$6:$X$165,0),0),$K$1) + IFERROR(OFFSET($S$5,MATCH(K59,$R$6:$R$165,0),0),)</f>
        <v>0</v>
      </c>
      <c r="L64" s="332">
        <f t="shared" ref="L64" ca="1" si="100">IF(COUNT(L60,L61,L62)&gt;0,IF((L62-L61)&gt;$K$2,((L63-L60)-(L62-L61)),((L63-L60-$K$2))),$K$1)  + IFERROR(OFFSET($Y$5,MATCH(L59,$X$6:$X$165,0),0),$K$1) + IFERROR(OFFSET($S$5,MATCH(L59,$R$6:$R$165,0),0),)</f>
        <v>0</v>
      </c>
      <c r="M64" s="332">
        <f t="shared" ref="M64" ca="1" si="101">IF(COUNT(M60,M61,M62)&gt;0,IF((M62-M61)&gt;$K$2,((M63-M60)-(M62-M61)),((M63-M60-$K$2))),$K$1)  + IFERROR(OFFSET($Y$5,MATCH(M59,$X$6:$X$165,0),0),$K$1) + IFERROR(OFFSET($S$5,MATCH(M59,$R$6:$R$165,0),0),)</f>
        <v>0</v>
      </c>
      <c r="N64" s="332">
        <f t="shared" ref="N64" ca="1" si="102">IF(COUNT(N60,N61,N62)&gt;0,IF((N62-N61)&gt;$K$2,((N63-N60)-(N62-N61)),((N63-N60-$K$2))),$K$1)  + IFERROR(OFFSET($Y$5,MATCH(N59,$X$6:$X$165,0),0),$K$1) + IFERROR(OFFSET($S$5,MATCH(N59,$R$6:$R$165,0),0),)</f>
        <v>0</v>
      </c>
      <c r="O64" s="332">
        <f t="shared" ref="O64" ca="1" si="103">IF(COUNT(O60,O61,O62)&gt;0,IF((O62-O61)&gt;$K$2,((O63-O60)-(O62-O61)),((O63-O60-$K$2))),$K$1)  + IFERROR(OFFSET($Y$5,MATCH(O59,$X$6:$X$165,0),0),$K$1) + IFERROR(OFFSET($S$5,MATCH(O59,$R$6:$R$165,0),0),)</f>
        <v>0</v>
      </c>
      <c r="P64" s="105"/>
      <c r="Q64" s="210"/>
      <c r="R64" s="163"/>
      <c r="S64" s="59"/>
      <c r="V64" s="311" t="s">
        <v>0</v>
      </c>
      <c r="W64" s="317"/>
      <c r="X64" s="483"/>
      <c r="Y64" s="313">
        <f>W65-W64</f>
        <v>0</v>
      </c>
      <c r="Z64" s="330"/>
    </row>
    <row r="65" spans="1:26" x14ac:dyDescent="0.25">
      <c r="A65" s="131">
        <v>61</v>
      </c>
      <c r="B65" s="177" t="s">
        <v>3</v>
      </c>
      <c r="C65" s="332">
        <f t="shared" ref="C65" ca="1" si="104">IFERROR(C64+OFFSET($S$5,MATCH(C59,$R$6:$R$165,0),0)-$L$2,C64-$L$2) -IFERROR(OFFSET($S$5,MATCH(C59,$R$6:$R$165,0),0),)</f>
        <v>-0.33333333333333331</v>
      </c>
      <c r="D65" s="332">
        <f t="shared" ref="D65" ca="1" si="105">IFERROR(D64+OFFSET($S$5,MATCH(D59,$R$6:$R$165,0),0)-$L$2,D64-$L$2) -IFERROR(OFFSET($S$5,MATCH(D59,$R$6:$R$165,0),0),)</f>
        <v>-0.33333333333333331</v>
      </c>
      <c r="E65" s="332">
        <f t="shared" ref="E65" ca="1" si="106">IFERROR(E64+OFFSET($S$5,MATCH(E59,$R$6:$R$165,0),0)-$L$2,E64-$L$2) -IFERROR(OFFSET($S$5,MATCH(E59,$R$6:$R$165,0),0),)</f>
        <v>-0.33333333333333331</v>
      </c>
      <c r="F65" s="332">
        <f t="shared" ref="F65" ca="1" si="107">IFERROR(F64+OFFSET($S$5,MATCH(F59,$R$6:$R$165,0),0)-$L$2,F64-$L$2) -IFERROR(OFFSET($S$5,MATCH(F59,$R$6:$R$165,0),0),)</f>
        <v>-0.33333333333333331</v>
      </c>
      <c r="G65" s="332">
        <f t="shared" ref="G65" ca="1" si="108">IFERROR(G64+OFFSET($S$5,MATCH(G59,$R$6:$R$165,0),0)-$L$2,G64-$L$2) -IFERROR(OFFSET($S$5,MATCH(G59,$R$6:$R$165,0),0),)</f>
        <v>-0.33333333333333331</v>
      </c>
      <c r="H65" s="105"/>
      <c r="I65" s="105"/>
      <c r="J65" s="133" t="s">
        <v>3</v>
      </c>
      <c r="K65" s="332">
        <f t="shared" ref="K65" ca="1" si="109">IFERROR(K64+OFFSET($S$5,MATCH(K59,$R$6:$R$165,0),0)-$L$2,K64-$L$2) -IFERROR(OFFSET($S$5,MATCH(K59,$R$6:$R$165,0),0),)</f>
        <v>-0.33333333333333331</v>
      </c>
      <c r="L65" s="332">
        <f t="shared" ref="L65" ca="1" si="110">IFERROR(L64+OFFSET($S$5,MATCH(L59,$R$6:$R$165,0),0)-$L$2,L64-$L$2) -IFERROR(OFFSET($S$5,MATCH(L59,$R$6:$R$165,0),0),)</f>
        <v>-0.33333333333333331</v>
      </c>
      <c r="M65" s="332">
        <f t="shared" ref="M65" ca="1" si="111">IFERROR(M64+OFFSET($S$5,MATCH(M59,$R$6:$R$165,0),0)-$L$2,M64-$L$2) -IFERROR(OFFSET($S$5,MATCH(M59,$R$6:$R$165,0),0),)</f>
        <v>-0.33333333333333331</v>
      </c>
      <c r="N65" s="332">
        <f t="shared" ref="N65" ca="1" si="112">IFERROR(N64+OFFSET($S$5,MATCH(N59,$R$6:$R$165,0),0)-$L$2,N64-$L$2) -IFERROR(OFFSET($S$5,MATCH(N59,$R$6:$R$165,0),0),)</f>
        <v>-0.33333333333333331</v>
      </c>
      <c r="O65" s="332">
        <f t="shared" ref="O65" ca="1" si="113">IFERROR(O64+OFFSET($S$5,MATCH(O59,$R$6:$R$165,0),0)-$L$2,O64-$L$2) -IFERROR(OFFSET($S$5,MATCH(O59,$R$6:$R$165,0),0),)</f>
        <v>-0.33333333333333331</v>
      </c>
      <c r="P65" s="105"/>
      <c r="Q65" s="210"/>
      <c r="R65" s="163"/>
      <c r="S65" s="59"/>
      <c r="V65" s="314" t="s">
        <v>1</v>
      </c>
      <c r="W65" s="318"/>
      <c r="X65" s="484"/>
      <c r="Y65" s="316"/>
      <c r="Z65" s="329"/>
    </row>
    <row r="66" spans="1:26" ht="15.75" thickBot="1" x14ac:dyDescent="0.3">
      <c r="A66" s="131">
        <v>62</v>
      </c>
      <c r="B66" s="177" t="s">
        <v>4</v>
      </c>
      <c r="C66" s="22">
        <f ca="1">C65</f>
        <v>-0.33333333333333331</v>
      </c>
      <c r="D66" s="86">
        <f t="shared" ref="D66" ca="1" si="114">C66+D65</f>
        <v>-0.66666666666666663</v>
      </c>
      <c r="E66" s="86">
        <f t="shared" ref="E66" ca="1" si="115">D66+E65</f>
        <v>-1</v>
      </c>
      <c r="F66" s="86">
        <f t="shared" ref="F66" ca="1" si="116">E66+F65</f>
        <v>-1.3333333333333333</v>
      </c>
      <c r="G66" s="86">
        <f t="shared" ref="G66" ca="1" si="117">F66+G65</f>
        <v>-1.6666666666666665</v>
      </c>
      <c r="H66" s="105"/>
      <c r="I66" s="105"/>
      <c r="J66" s="133" t="s">
        <v>4</v>
      </c>
      <c r="K66" s="87">
        <f ca="1">K65+G66</f>
        <v>-1.9999999999999998</v>
      </c>
      <c r="L66" s="87">
        <f ca="1">K66+L65</f>
        <v>-2.333333333333333</v>
      </c>
      <c r="M66" s="87">
        <f t="shared" ref="M66" ca="1" si="118">L66+M65</f>
        <v>-2.6666666666666665</v>
      </c>
      <c r="N66" s="87">
        <f t="shared" ref="N66" ca="1" si="119">M66+N65</f>
        <v>-3</v>
      </c>
      <c r="O66" s="87">
        <f t="shared" ref="O66" ca="1" si="120">N66+O65</f>
        <v>-3.3333333333333335</v>
      </c>
      <c r="P66" s="105"/>
      <c r="Q66" s="210"/>
      <c r="R66" s="163"/>
      <c r="S66" s="59"/>
      <c r="V66" s="319" t="s">
        <v>0</v>
      </c>
      <c r="W66" s="320"/>
      <c r="X66" s="485"/>
      <c r="Y66" s="321">
        <f>W67-W66</f>
        <v>0</v>
      </c>
      <c r="Z66" s="330"/>
    </row>
    <row r="67" spans="1:26" x14ac:dyDescent="0.25">
      <c r="A67" s="131">
        <v>63</v>
      </c>
      <c r="B67" s="211" t="s">
        <v>32</v>
      </c>
      <c r="C67" s="66" t="s">
        <v>31</v>
      </c>
      <c r="D67" s="66" t="s">
        <v>25</v>
      </c>
      <c r="E67" s="66" t="s">
        <v>26</v>
      </c>
      <c r="F67" s="66" t="s">
        <v>27</v>
      </c>
      <c r="G67" s="66" t="s">
        <v>28</v>
      </c>
      <c r="H67" s="101">
        <f t="shared" ref="H67:I67" si="121">H68</f>
        <v>44458</v>
      </c>
      <c r="I67" s="102">
        <f t="shared" si="121"/>
        <v>44459</v>
      </c>
      <c r="J67" s="83"/>
      <c r="K67" s="66" t="s">
        <v>31</v>
      </c>
      <c r="L67" s="66" t="s">
        <v>25</v>
      </c>
      <c r="M67" s="66" t="s">
        <v>26</v>
      </c>
      <c r="N67" s="66" t="s">
        <v>27</v>
      </c>
      <c r="O67" s="66" t="s">
        <v>28</v>
      </c>
      <c r="P67" s="101">
        <f t="shared" ref="P67:Q67" si="122">P68</f>
        <v>44465</v>
      </c>
      <c r="Q67" s="271">
        <f t="shared" si="122"/>
        <v>44466</v>
      </c>
      <c r="R67" s="163"/>
      <c r="S67" s="59"/>
      <c r="V67" s="314" t="s">
        <v>1</v>
      </c>
      <c r="W67" s="320"/>
      <c r="X67" s="485"/>
      <c r="Y67" s="322"/>
      <c r="Z67" s="329"/>
    </row>
    <row r="68" spans="1:26" ht="15.75" thickBot="1" x14ac:dyDescent="0.3">
      <c r="A68" s="131">
        <v>64</v>
      </c>
      <c r="B68" s="208" t="s">
        <v>5</v>
      </c>
      <c r="C68" s="84">
        <v>44453</v>
      </c>
      <c r="D68" s="84">
        <v>44454</v>
      </c>
      <c r="E68" s="84">
        <v>44455</v>
      </c>
      <c r="F68" s="84">
        <v>44456</v>
      </c>
      <c r="G68" s="84">
        <v>44457</v>
      </c>
      <c r="H68" s="103">
        <v>44458</v>
      </c>
      <c r="I68" s="104">
        <v>44459</v>
      </c>
      <c r="J68" s="85"/>
      <c r="K68" s="84">
        <v>44460</v>
      </c>
      <c r="L68" s="84">
        <v>44461</v>
      </c>
      <c r="M68" s="84">
        <v>44462</v>
      </c>
      <c r="N68" s="84">
        <v>44463</v>
      </c>
      <c r="O68" s="84">
        <v>44464</v>
      </c>
      <c r="P68" s="103">
        <v>44465</v>
      </c>
      <c r="Q68" s="209">
        <v>44466</v>
      </c>
      <c r="R68" s="163"/>
      <c r="S68" s="59"/>
      <c r="V68" s="311" t="s">
        <v>0</v>
      </c>
      <c r="W68" s="312"/>
      <c r="X68" s="488"/>
      <c r="Y68" s="313">
        <f>W69-W68</f>
        <v>0</v>
      </c>
      <c r="Z68" s="330"/>
    </row>
    <row r="69" spans="1:26" x14ac:dyDescent="0.25">
      <c r="A69" s="131">
        <v>65</v>
      </c>
      <c r="B69" s="175" t="s">
        <v>0</v>
      </c>
      <c r="C69" s="335"/>
      <c r="D69" s="335"/>
      <c r="E69" s="335"/>
      <c r="F69" s="335"/>
      <c r="G69" s="335"/>
      <c r="H69" s="105"/>
      <c r="I69" s="105"/>
      <c r="J69" s="132" t="s">
        <v>0</v>
      </c>
      <c r="K69" s="335"/>
      <c r="L69" s="335"/>
      <c r="M69" s="335"/>
      <c r="N69" s="335"/>
      <c r="O69" s="335"/>
      <c r="P69" s="105"/>
      <c r="Q69" s="210"/>
      <c r="R69" s="163"/>
      <c r="S69" s="59"/>
      <c r="V69" s="314" t="s">
        <v>1</v>
      </c>
      <c r="W69" s="315"/>
      <c r="X69" s="489"/>
      <c r="Y69" s="316"/>
      <c r="Z69" s="329"/>
    </row>
    <row r="70" spans="1:26" x14ac:dyDescent="0.25">
      <c r="A70" s="131">
        <v>66</v>
      </c>
      <c r="B70" s="177" t="s">
        <v>1</v>
      </c>
      <c r="C70" s="335"/>
      <c r="D70" s="335"/>
      <c r="E70" s="335"/>
      <c r="F70" s="335"/>
      <c r="G70" s="335"/>
      <c r="H70" s="105"/>
      <c r="I70" s="105"/>
      <c r="J70" s="133" t="s">
        <v>1</v>
      </c>
      <c r="K70" s="335"/>
      <c r="L70" s="335"/>
      <c r="M70" s="335"/>
      <c r="N70" s="335"/>
      <c r="O70" s="335"/>
      <c r="P70" s="105"/>
      <c r="Q70" s="210"/>
      <c r="R70" s="164"/>
      <c r="S70" s="60"/>
      <c r="V70" s="311" t="s">
        <v>0</v>
      </c>
      <c r="W70" s="320"/>
      <c r="X70" s="485"/>
      <c r="Y70" s="321">
        <f>W71-W70</f>
        <v>0</v>
      </c>
      <c r="Z70" s="330"/>
    </row>
    <row r="71" spans="1:26" x14ac:dyDescent="0.25">
      <c r="A71" s="131">
        <v>67</v>
      </c>
      <c r="B71" s="175" t="s">
        <v>0</v>
      </c>
      <c r="C71" s="335"/>
      <c r="D71" s="335"/>
      <c r="E71" s="335"/>
      <c r="F71" s="335"/>
      <c r="G71" s="335"/>
      <c r="H71" s="105"/>
      <c r="I71" s="105"/>
      <c r="J71" s="132" t="s">
        <v>0</v>
      </c>
      <c r="K71" s="335"/>
      <c r="L71" s="335"/>
      <c r="M71" s="335"/>
      <c r="N71" s="335"/>
      <c r="O71" s="335"/>
      <c r="P71" s="105"/>
      <c r="Q71" s="210"/>
      <c r="R71" s="164"/>
      <c r="S71" s="60"/>
      <c r="V71" s="314" t="s">
        <v>1</v>
      </c>
      <c r="W71" s="315"/>
      <c r="X71" s="489"/>
      <c r="Y71" s="316"/>
      <c r="Z71" s="329"/>
    </row>
    <row r="72" spans="1:26" x14ac:dyDescent="0.25">
      <c r="A72" s="131">
        <v>68</v>
      </c>
      <c r="B72" s="177" t="s">
        <v>1</v>
      </c>
      <c r="C72" s="331">
        <f t="shared" ref="C72" ca="1" si="123">IF((C71-C70)&gt;$K$2,$L$2+C69+(C71-C70)-IFERROR(OFFSET($S$5,MATCH(C68,$R$6:$R$165,0),0),),$L$2+C69+$K$2-IFERROR(OFFSET($S$5,MATCH(C68,$R$6:$R$165,0),0),))</f>
        <v>0.36458333333333331</v>
      </c>
      <c r="D72" s="331">
        <f t="shared" ref="D72" ca="1" si="124">IF((D71-D70)&gt;$K$2,$L$2+D69+(D71-D70)-IFERROR(OFFSET($S$5,MATCH(D68,$R$6:$R$165,0),0),),$L$2+D69+$K$2-IFERROR(OFFSET($S$5,MATCH(D68,$R$6:$R$165,0),0),))</f>
        <v>0.36458333333333331</v>
      </c>
      <c r="E72" s="331">
        <f t="shared" ref="E72" ca="1" si="125">IF((E71-E70)&gt;$K$2,$L$2+E69+(E71-E70)-IFERROR(OFFSET($S$5,MATCH(E68,$R$6:$R$165,0),0),),$L$2+E69+$K$2-IFERROR(OFFSET($S$5,MATCH(E68,$R$6:$R$165,0),0),))</f>
        <v>0.36458333333333331</v>
      </c>
      <c r="F72" s="331">
        <f t="shared" ref="F72" ca="1" si="126">IF((F71-F70)&gt;$K$2,$L$2+F69+(F71-F70)-IFERROR(OFFSET($S$5,MATCH(F68,$R$6:$R$165,0),0),),$L$2+F69+$K$2-IFERROR(OFFSET($S$5,MATCH(F68,$R$6:$R$165,0),0),))</f>
        <v>0.36458333333333331</v>
      </c>
      <c r="G72" s="331">
        <f t="shared" ref="G72" ca="1" si="127">IF((G71-G70)&gt;$K$2,$L$2+G69+(G71-G70)-IFERROR(OFFSET($S$5,MATCH(G68,$R$6:$R$165,0),0),),$L$2+G69+$K$2-IFERROR(OFFSET($S$5,MATCH(G68,$R$6:$R$165,0),0),))</f>
        <v>0.36458333333333331</v>
      </c>
      <c r="H72" s="105"/>
      <c r="I72" s="105"/>
      <c r="J72" s="133" t="s">
        <v>1</v>
      </c>
      <c r="K72" s="331">
        <f t="shared" ref="K72" ca="1" si="128">IF((K71-K70)&gt;$K$2,$L$2+K69+(K71-K70)-IFERROR(OFFSET($S$5,MATCH(K68,$R$6:$R$165,0),0),),$L$2+K69+$K$2-IFERROR(OFFSET($S$5,MATCH(K68,$R$6:$R$165,0),0),))</f>
        <v>0.36458333333333331</v>
      </c>
      <c r="L72" s="331">
        <f t="shared" ref="L72" ca="1" si="129">IF((L71-L70)&gt;$K$2,$L$2+L69+(L71-L70)-IFERROR(OFFSET($S$5,MATCH(L68,$R$6:$R$165,0),0),),$L$2+L69+$K$2-IFERROR(OFFSET($S$5,MATCH(L68,$R$6:$R$165,0),0),))</f>
        <v>0.36458333333333331</v>
      </c>
      <c r="M72" s="331">
        <f t="shared" ref="M72" ca="1" si="130">IF((M71-M70)&gt;$K$2,$L$2+M69+(M71-M70)-IFERROR(OFFSET($S$5,MATCH(M68,$R$6:$R$165,0),0),),$L$2+M69+$K$2-IFERROR(OFFSET($S$5,MATCH(M68,$R$6:$R$165,0),0),))</f>
        <v>0.36458333333333331</v>
      </c>
      <c r="N72" s="331">
        <f t="shared" ref="N72" ca="1" si="131">IF((N71-N70)&gt;$K$2,$L$2+N69+(N71-N70)-IFERROR(OFFSET($S$5,MATCH(N68,$R$6:$R$165,0),0),),$L$2+N69+$K$2-IFERROR(OFFSET($S$5,MATCH(N68,$R$6:$R$165,0),0),))</f>
        <v>0.36458333333333331</v>
      </c>
      <c r="O72" s="331">
        <f t="shared" ref="O72" ca="1" si="132">IF((O71-O70)&gt;$K$2,$L$2+O69+(O71-O70)-IFERROR(OFFSET($S$5,MATCH(O68,$R$6:$R$165,0),0),),$L$2+O69+$K$2-IFERROR(OFFSET($S$5,MATCH(O68,$R$6:$R$165,0),0),))</f>
        <v>0.36458333333333331</v>
      </c>
      <c r="P72" s="105"/>
      <c r="Q72" s="210"/>
      <c r="R72" s="164"/>
      <c r="S72" s="61"/>
      <c r="V72" s="311" t="s">
        <v>0</v>
      </c>
      <c r="W72" s="312"/>
      <c r="X72" s="483"/>
      <c r="Y72" s="313">
        <f>W73-W72</f>
        <v>0</v>
      </c>
      <c r="Z72" s="330"/>
    </row>
    <row r="73" spans="1:26" x14ac:dyDescent="0.25">
      <c r="A73" s="131">
        <v>69</v>
      </c>
      <c r="B73" s="177" t="s">
        <v>2</v>
      </c>
      <c r="C73" s="332">
        <f t="shared" ref="C73" ca="1" si="133">IF(COUNT(C69,C70,C71)&gt;0,IF((C71-C70)&gt;$K$2,((C72-C69)-(C71-C70)),((C72-C69-$K$2))),$K$1)  + IFERROR(OFFSET($Y$5,MATCH(C68,$X$6:$X$165,0),0),$K$1) + IFERROR(OFFSET($S$5,MATCH(C68,$R$6:$R$165,0),0),)</f>
        <v>0</v>
      </c>
      <c r="D73" s="332">
        <f t="shared" ref="D73" ca="1" si="134">IF(COUNT(D69,D70,D71)&gt;0,IF((D71-D70)&gt;$K$2,((D72-D69)-(D71-D70)),((D72-D69-$K$2))),$K$1)  + IFERROR(OFFSET($Y$5,MATCH(D68,$X$6:$X$165,0),0),$K$1) + IFERROR(OFFSET($S$5,MATCH(D68,$R$6:$R$165,0),0),)</f>
        <v>0</v>
      </c>
      <c r="E73" s="332">
        <f t="shared" ref="E73" ca="1" si="135">IF(COUNT(E69,E70,E71)&gt;0,IF((E71-E70)&gt;$K$2,((E72-E69)-(E71-E70)),((E72-E69-$K$2))),$K$1)  + IFERROR(OFFSET($Y$5,MATCH(E68,$X$6:$X$165,0),0),$K$1) + IFERROR(OFFSET($S$5,MATCH(E68,$R$6:$R$165,0),0),)</f>
        <v>0</v>
      </c>
      <c r="F73" s="332">
        <f t="shared" ref="F73" ca="1" si="136">IF(COUNT(F69,F70,F71)&gt;0,IF((F71-F70)&gt;$K$2,((F72-F69)-(F71-F70)),((F72-F69-$K$2))),$K$1)  + IFERROR(OFFSET($Y$5,MATCH(F68,$X$6:$X$165,0),0),$K$1) + IFERROR(OFFSET($S$5,MATCH(F68,$R$6:$R$165,0),0),)</f>
        <v>0</v>
      </c>
      <c r="G73" s="332">
        <f t="shared" ref="G73" ca="1" si="137">IF(COUNT(G69,G70,G71)&gt;0,IF((G71-G70)&gt;$K$2,((G72-G69)-(G71-G70)),((G72-G69-$K$2))),$K$1)  + IFERROR(OFFSET($Y$5,MATCH(G68,$X$6:$X$165,0),0),$K$1) + IFERROR(OFFSET($S$5,MATCH(G68,$R$6:$R$165,0),0),)</f>
        <v>0</v>
      </c>
      <c r="H73" s="105"/>
      <c r="I73" s="105"/>
      <c r="J73" s="133" t="s">
        <v>2</v>
      </c>
      <c r="K73" s="332">
        <f t="shared" ref="K73" ca="1" si="138">IF(COUNT(K69,K70,K71)&gt;0,IF((K71-K70)&gt;$K$2,((K72-K69)-(K71-K70)),((K72-K69-$K$2))),$K$1)  + IFERROR(OFFSET($Y$5,MATCH(K68,$X$6:$X$165,0),0),$K$1) + IFERROR(OFFSET($S$5,MATCH(K68,$R$6:$R$165,0),0),)</f>
        <v>0</v>
      </c>
      <c r="L73" s="332">
        <f t="shared" ref="L73" ca="1" si="139">IF(COUNT(L69,L70,L71)&gt;0,IF((L71-L70)&gt;$K$2,((L72-L69)-(L71-L70)),((L72-L69-$K$2))),$K$1)  + IFERROR(OFFSET($Y$5,MATCH(L68,$X$6:$X$165,0),0),$K$1) + IFERROR(OFFSET($S$5,MATCH(L68,$R$6:$R$165,0),0),)</f>
        <v>0</v>
      </c>
      <c r="M73" s="332">
        <f t="shared" ref="M73" ca="1" si="140">IF(COUNT(M69,M70,M71)&gt;0,IF((M71-M70)&gt;$K$2,((M72-M69)-(M71-M70)),((M72-M69-$K$2))),$K$1)  + IFERROR(OFFSET($Y$5,MATCH(M68,$X$6:$X$165,0),0),$K$1) + IFERROR(OFFSET($S$5,MATCH(M68,$R$6:$R$165,0),0),)</f>
        <v>0</v>
      </c>
      <c r="N73" s="332">
        <f t="shared" ref="N73" ca="1" si="141">IF(COUNT(N69,N70,N71)&gt;0,IF((N71-N70)&gt;$K$2,((N72-N69)-(N71-N70)),((N72-N69-$K$2))),$K$1)  + IFERROR(OFFSET($Y$5,MATCH(N68,$X$6:$X$165,0),0),$K$1) + IFERROR(OFFSET($S$5,MATCH(N68,$R$6:$R$165,0),0),)</f>
        <v>0</v>
      </c>
      <c r="O73" s="332">
        <f t="shared" ref="O73" ca="1" si="142">IF(COUNT(O69,O70,O71)&gt;0,IF((O71-O70)&gt;$K$2,((O72-O69)-(O71-O70)),((O72-O69-$K$2))),$K$1)  + IFERROR(OFFSET($Y$5,MATCH(O68,$X$6:$X$165,0),0),$K$1) + IFERROR(OFFSET($S$5,MATCH(O68,$R$6:$R$165,0),0),)</f>
        <v>0</v>
      </c>
      <c r="P73" s="105"/>
      <c r="Q73" s="210"/>
      <c r="R73" s="164"/>
      <c r="S73" s="60"/>
      <c r="V73" s="314" t="s">
        <v>1</v>
      </c>
      <c r="W73" s="315"/>
      <c r="X73" s="484"/>
      <c r="Y73" s="316"/>
      <c r="Z73" s="329"/>
    </row>
    <row r="74" spans="1:26" x14ac:dyDescent="0.25">
      <c r="A74" s="131">
        <v>70</v>
      </c>
      <c r="B74" s="177" t="s">
        <v>3</v>
      </c>
      <c r="C74" s="332">
        <f t="shared" ref="C74" ca="1" si="143">IFERROR(C73+OFFSET($S$5,MATCH(C68,$R$6:$R$165,0),0)-$L$2,C73-$L$2) -IFERROR(OFFSET($S$5,MATCH(C68,$R$6:$R$165,0),0),)</f>
        <v>-0.33333333333333331</v>
      </c>
      <c r="D74" s="332">
        <f t="shared" ref="D74" ca="1" si="144">IFERROR(D73+OFFSET($S$5,MATCH(D68,$R$6:$R$165,0),0)-$L$2,D73-$L$2) -IFERROR(OFFSET($S$5,MATCH(D68,$R$6:$R$165,0),0),)</f>
        <v>-0.33333333333333331</v>
      </c>
      <c r="E74" s="332">
        <f t="shared" ref="E74" ca="1" si="145">IFERROR(E73+OFFSET($S$5,MATCH(E68,$R$6:$R$165,0),0)-$L$2,E73-$L$2) -IFERROR(OFFSET($S$5,MATCH(E68,$R$6:$R$165,0),0),)</f>
        <v>-0.33333333333333331</v>
      </c>
      <c r="F74" s="332">
        <f t="shared" ref="F74" ca="1" si="146">IFERROR(F73+OFFSET($S$5,MATCH(F68,$R$6:$R$165,0),0)-$L$2,F73-$L$2) -IFERROR(OFFSET($S$5,MATCH(F68,$R$6:$R$165,0),0),)</f>
        <v>-0.33333333333333331</v>
      </c>
      <c r="G74" s="332">
        <f t="shared" ref="G74" ca="1" si="147">IFERROR(G73+OFFSET($S$5,MATCH(G68,$R$6:$R$165,0),0)-$L$2,G73-$L$2) -IFERROR(OFFSET($S$5,MATCH(G68,$R$6:$R$165,0),0),)</f>
        <v>-0.33333333333333331</v>
      </c>
      <c r="H74" s="105"/>
      <c r="I74" s="105"/>
      <c r="J74" s="133" t="s">
        <v>3</v>
      </c>
      <c r="K74" s="332">
        <f t="shared" ref="K74" ca="1" si="148">IFERROR(K73+OFFSET($S$5,MATCH(K68,$R$6:$R$165,0),0)-$L$2,K73-$L$2) -IFERROR(OFFSET($S$5,MATCH(K68,$R$6:$R$165,0),0),)</f>
        <v>-0.33333333333333331</v>
      </c>
      <c r="L74" s="332">
        <f t="shared" ref="L74" ca="1" si="149">IFERROR(L73+OFFSET($S$5,MATCH(L68,$R$6:$R$165,0),0)-$L$2,L73-$L$2) -IFERROR(OFFSET($S$5,MATCH(L68,$R$6:$R$165,0),0),)</f>
        <v>-0.33333333333333331</v>
      </c>
      <c r="M74" s="332">
        <f t="shared" ref="M74" ca="1" si="150">IFERROR(M73+OFFSET($S$5,MATCH(M68,$R$6:$R$165,0),0)-$L$2,M73-$L$2) -IFERROR(OFFSET($S$5,MATCH(M68,$R$6:$R$165,0),0),)</f>
        <v>-0.33333333333333331</v>
      </c>
      <c r="N74" s="332">
        <f t="shared" ref="N74" ca="1" si="151">IFERROR(N73+OFFSET($S$5,MATCH(N68,$R$6:$R$165,0),0)-$L$2,N73-$L$2) -IFERROR(OFFSET($S$5,MATCH(N68,$R$6:$R$165,0),0),)</f>
        <v>-0.33333333333333331</v>
      </c>
      <c r="O74" s="332">
        <f t="shared" ref="O74" ca="1" si="152">IFERROR(O73+OFFSET($S$5,MATCH(O68,$R$6:$R$165,0),0)-$L$2,O73-$L$2) -IFERROR(OFFSET($S$5,MATCH(O68,$R$6:$R$165,0),0),)</f>
        <v>-0.33333333333333331</v>
      </c>
      <c r="P74" s="105"/>
      <c r="Q74" s="210"/>
      <c r="R74" s="164"/>
      <c r="S74" s="60"/>
      <c r="V74" s="311" t="s">
        <v>0</v>
      </c>
      <c r="W74" s="317"/>
      <c r="X74" s="483"/>
      <c r="Y74" s="313">
        <f>W75-W74</f>
        <v>0</v>
      </c>
      <c r="Z74" s="330"/>
    </row>
    <row r="75" spans="1:26" ht="15.75" thickBot="1" x14ac:dyDescent="0.3">
      <c r="A75" s="131">
        <v>71</v>
      </c>
      <c r="B75" s="177" t="s">
        <v>4</v>
      </c>
      <c r="C75" s="87">
        <f ca="1">C74+O66</f>
        <v>-3.666666666666667</v>
      </c>
      <c r="D75" s="87">
        <f ca="1">C75+D74</f>
        <v>-4</v>
      </c>
      <c r="E75" s="87">
        <f t="shared" ref="E75" ca="1" si="153">D75+E74</f>
        <v>-4.333333333333333</v>
      </c>
      <c r="F75" s="87">
        <f t="shared" ref="F75" ca="1" si="154">E75+F74</f>
        <v>-4.6666666666666661</v>
      </c>
      <c r="G75" s="87">
        <f t="shared" ref="G75" ca="1" si="155">F75+G74</f>
        <v>-4.9999999999999991</v>
      </c>
      <c r="H75" s="106"/>
      <c r="I75" s="105"/>
      <c r="J75" s="133" t="s">
        <v>4</v>
      </c>
      <c r="K75" s="87">
        <f ca="1">K74+G75</f>
        <v>-5.3333333333333321</v>
      </c>
      <c r="L75" s="87">
        <f ca="1">K75+L74</f>
        <v>-5.6666666666666652</v>
      </c>
      <c r="M75" s="87">
        <f t="shared" ref="M75" ca="1" si="156">L75+M74</f>
        <v>-5.9999999999999982</v>
      </c>
      <c r="N75" s="87">
        <f t="shared" ref="N75" ca="1" si="157">M75+N74</f>
        <v>-6.3333333333333313</v>
      </c>
      <c r="O75" s="87">
        <f t="shared" ref="O75" ca="1" si="158">N75+O74</f>
        <v>-6.6666666666666643</v>
      </c>
      <c r="P75" s="105"/>
      <c r="Q75" s="210"/>
      <c r="R75" s="164"/>
      <c r="S75" s="60"/>
      <c r="V75" s="314" t="s">
        <v>1</v>
      </c>
      <c r="W75" s="318"/>
      <c r="X75" s="484"/>
      <c r="Y75" s="316"/>
      <c r="Z75" s="329"/>
    </row>
    <row r="76" spans="1:26" x14ac:dyDescent="0.25">
      <c r="A76" s="131">
        <v>72</v>
      </c>
      <c r="B76" s="211" t="s">
        <v>32</v>
      </c>
      <c r="C76" s="66" t="s">
        <v>31</v>
      </c>
      <c r="D76" s="66" t="s">
        <v>25</v>
      </c>
      <c r="E76" s="73"/>
      <c r="F76" s="73"/>
      <c r="G76" s="73"/>
      <c r="H76" s="101">
        <f t="shared" ref="H76:I76" si="159">H77</f>
        <v>44472</v>
      </c>
      <c r="I76" s="102">
        <f t="shared" si="159"/>
        <v>44473</v>
      </c>
      <c r="J76" s="89"/>
      <c r="K76" s="88"/>
      <c r="L76" s="88"/>
      <c r="M76" s="88"/>
      <c r="N76" s="88"/>
      <c r="O76" s="88"/>
      <c r="P76" s="101"/>
      <c r="Q76" s="212"/>
      <c r="R76" s="164"/>
      <c r="S76" s="60"/>
      <c r="V76" s="311" t="s">
        <v>0</v>
      </c>
      <c r="W76" s="317"/>
      <c r="X76" s="483"/>
      <c r="Y76" s="313">
        <f>W77-W76</f>
        <v>0</v>
      </c>
      <c r="Z76" s="330"/>
    </row>
    <row r="77" spans="1:26" ht="15.75" thickBot="1" x14ac:dyDescent="0.3">
      <c r="A77" s="131">
        <v>73</v>
      </c>
      <c r="B77" s="208" t="s">
        <v>5</v>
      </c>
      <c r="C77" s="84">
        <v>44467</v>
      </c>
      <c r="D77" s="84">
        <v>44468</v>
      </c>
      <c r="E77" s="90"/>
      <c r="F77" s="90"/>
      <c r="G77" s="90"/>
      <c r="H77" s="103">
        <v>44472</v>
      </c>
      <c r="I77" s="103">
        <v>44473</v>
      </c>
      <c r="J77" s="91"/>
      <c r="K77" s="90"/>
      <c r="L77" s="90"/>
      <c r="M77" s="90"/>
      <c r="N77" s="90"/>
      <c r="O77" s="90"/>
      <c r="P77" s="103"/>
      <c r="Q77" s="209"/>
      <c r="R77" s="164"/>
      <c r="S77" s="60"/>
      <c r="V77" s="314" t="s">
        <v>1</v>
      </c>
      <c r="W77" s="318"/>
      <c r="X77" s="484"/>
      <c r="Y77" s="316"/>
      <c r="Z77" s="329"/>
    </row>
    <row r="78" spans="1:26" x14ac:dyDescent="0.25">
      <c r="A78" s="131">
        <v>74</v>
      </c>
      <c r="B78" s="175" t="s">
        <v>0</v>
      </c>
      <c r="C78" s="335"/>
      <c r="D78" s="335"/>
      <c r="E78" s="92"/>
      <c r="F78" s="92"/>
      <c r="G78" s="92"/>
      <c r="H78" s="105"/>
      <c r="I78" s="107"/>
      <c r="J78" s="93"/>
      <c r="K78" s="94"/>
      <c r="L78" s="94"/>
      <c r="M78" s="95"/>
      <c r="N78" s="96"/>
      <c r="O78" s="96"/>
      <c r="P78" s="105"/>
      <c r="Q78" s="210"/>
      <c r="R78" s="164"/>
      <c r="S78" s="60"/>
      <c r="V78" s="319" t="s">
        <v>0</v>
      </c>
      <c r="W78" s="320"/>
      <c r="X78" s="485"/>
      <c r="Y78" s="321">
        <f>W79-W78</f>
        <v>0</v>
      </c>
      <c r="Z78" s="330"/>
    </row>
    <row r="79" spans="1:26" x14ac:dyDescent="0.25">
      <c r="A79" s="131">
        <v>75</v>
      </c>
      <c r="B79" s="177" t="s">
        <v>1</v>
      </c>
      <c r="C79" s="335"/>
      <c r="D79" s="335"/>
      <c r="E79" s="92"/>
      <c r="F79" s="92"/>
      <c r="G79" s="92"/>
      <c r="H79" s="105"/>
      <c r="I79" s="108"/>
      <c r="J79" s="97"/>
      <c r="K79" s="96"/>
      <c r="L79" s="96"/>
      <c r="M79" s="95"/>
      <c r="N79" s="96"/>
      <c r="O79" s="96"/>
      <c r="P79" s="105"/>
      <c r="Q79" s="210"/>
      <c r="R79" s="164"/>
      <c r="S79" s="60"/>
      <c r="V79" s="314" t="s">
        <v>1</v>
      </c>
      <c r="W79" s="320"/>
      <c r="X79" s="485"/>
      <c r="Y79" s="322"/>
      <c r="Z79" s="329"/>
    </row>
    <row r="80" spans="1:26" x14ac:dyDescent="0.25">
      <c r="A80" s="131">
        <v>76</v>
      </c>
      <c r="B80" s="175" t="s">
        <v>0</v>
      </c>
      <c r="C80" s="335"/>
      <c r="D80" s="335"/>
      <c r="E80" s="92"/>
      <c r="F80" s="92"/>
      <c r="G80" s="92"/>
      <c r="H80" s="105"/>
      <c r="I80" s="108"/>
      <c r="J80" s="98"/>
      <c r="K80" s="96"/>
      <c r="L80" s="96"/>
      <c r="M80" s="95"/>
      <c r="N80" s="96"/>
      <c r="O80" s="96"/>
      <c r="P80" s="105"/>
      <c r="Q80" s="210"/>
      <c r="R80" s="164"/>
      <c r="S80" s="60"/>
      <c r="V80" s="311" t="s">
        <v>0</v>
      </c>
      <c r="W80" s="312"/>
      <c r="X80" s="488"/>
      <c r="Y80" s="313">
        <f>W81-W80</f>
        <v>0</v>
      </c>
      <c r="Z80" s="330"/>
    </row>
    <row r="81" spans="1:31" x14ac:dyDescent="0.25">
      <c r="A81" s="131">
        <v>77</v>
      </c>
      <c r="B81" s="177" t="s">
        <v>1</v>
      </c>
      <c r="C81" s="331">
        <f t="shared" ref="C81" ca="1" si="160">IF((C80-C79)&gt;$K$2,$L$2+C78+(C80-C79)-IFERROR(OFFSET($S$5,MATCH(C77,$R$6:$R$165,0),0),),$L$2+C78+$K$2-IFERROR(OFFSET($S$5,MATCH(C77,$R$6:$R$165,0),0),))</f>
        <v>0.36458333333333331</v>
      </c>
      <c r="D81" s="331">
        <f t="shared" ref="D81" ca="1" si="161">IF((D80-D79)&gt;$K$2,$L$2+D78+(D80-D79)-IFERROR(OFFSET($S$5,MATCH(D77,$R$6:$R$165,0),0),),$L$2+D78+$K$2-IFERROR(OFFSET($S$5,MATCH(D77,$R$6:$R$165,0),0),))</f>
        <v>0.36458333333333331</v>
      </c>
      <c r="E81" s="92"/>
      <c r="F81" s="92"/>
      <c r="G81" s="92"/>
      <c r="H81" s="105"/>
      <c r="I81" s="108"/>
      <c r="J81" s="97"/>
      <c r="K81" s="96"/>
      <c r="L81" s="96"/>
      <c r="M81" s="95"/>
      <c r="N81" s="96"/>
      <c r="O81" s="96"/>
      <c r="P81" s="105"/>
      <c r="Q81" s="210"/>
      <c r="R81" s="164"/>
      <c r="S81" s="60"/>
      <c r="V81" s="314" t="s">
        <v>1</v>
      </c>
      <c r="W81" s="315"/>
      <c r="X81" s="489"/>
      <c r="Y81" s="316"/>
      <c r="Z81" s="329"/>
    </row>
    <row r="82" spans="1:31" x14ac:dyDescent="0.25">
      <c r="A82" s="131">
        <v>78</v>
      </c>
      <c r="B82" s="177" t="s">
        <v>2</v>
      </c>
      <c r="C82" s="332">
        <f t="shared" ref="C82" ca="1" si="162">IF(COUNT(C78,C79,C80)&gt;0,IF((C80-C79)&gt;$K$2,((C81-C78)-(C80-C79)),((C81-C78-$K$2))),$K$1)  + IFERROR(OFFSET($Y$5,MATCH(C77,$X$6:$X$165,0),0),$K$1) + IFERROR(OFFSET($S$5,MATCH(C77,$R$6:$R$165,0),0),)</f>
        <v>0</v>
      </c>
      <c r="D82" s="332">
        <f t="shared" ref="D82" ca="1" si="163">IF(COUNT(D78,D79,D80)&gt;0,IF((D80-D79)&gt;$K$2,((D81-D78)-(D80-D79)),((D81-D78-$K$2))),$K$1)  + IFERROR(OFFSET($Y$5,MATCH(D77,$X$6:$X$165,0),0),$K$1) + IFERROR(OFFSET($S$5,MATCH(D77,$R$6:$R$165,0),0),)</f>
        <v>0</v>
      </c>
      <c r="E82" s="99"/>
      <c r="F82" s="99"/>
      <c r="G82" s="99"/>
      <c r="H82" s="105"/>
      <c r="I82" s="108"/>
      <c r="J82" s="97"/>
      <c r="K82" s="99"/>
      <c r="L82" s="99"/>
      <c r="M82" s="100"/>
      <c r="N82" s="99"/>
      <c r="O82" s="99"/>
      <c r="P82" s="105"/>
      <c r="Q82" s="210"/>
      <c r="R82" s="164"/>
      <c r="S82" s="60"/>
      <c r="V82" s="311" t="s">
        <v>0</v>
      </c>
      <c r="W82" s="320"/>
      <c r="X82" s="485"/>
      <c r="Y82" s="321">
        <f>W83-W82</f>
        <v>0</v>
      </c>
      <c r="Z82" s="330"/>
    </row>
    <row r="83" spans="1:31" x14ac:dyDescent="0.25">
      <c r="A83" s="131">
        <v>79</v>
      </c>
      <c r="B83" s="177" t="s">
        <v>3</v>
      </c>
      <c r="C83" s="332">
        <f t="shared" ref="C83" ca="1" si="164">IFERROR(C82+OFFSET($S$5,MATCH(C77,$R$6:$R$165,0),0)-$L$2,C82-$L$2) -IFERROR(OFFSET($S$5,MATCH(C77,$R$6:$R$165,0),0),)</f>
        <v>-0.33333333333333331</v>
      </c>
      <c r="D83" s="332">
        <f t="shared" ref="D83" ca="1" si="165">IFERROR(D82+OFFSET($S$5,MATCH(D77,$R$6:$R$165,0),0)-$L$2,D82-$L$2) -IFERROR(OFFSET($S$5,MATCH(D77,$R$6:$R$165,0),0),)</f>
        <v>-0.33333333333333331</v>
      </c>
      <c r="E83" s="99"/>
      <c r="F83" s="99"/>
      <c r="G83" s="99"/>
      <c r="H83" s="105"/>
      <c r="I83" s="108"/>
      <c r="J83" s="97"/>
      <c r="K83" s="99"/>
      <c r="L83" s="99"/>
      <c r="M83" s="99"/>
      <c r="N83" s="99"/>
      <c r="O83" s="99"/>
      <c r="P83" s="105"/>
      <c r="Q83" s="210"/>
      <c r="R83" s="164"/>
      <c r="S83" s="60"/>
      <c r="V83" s="314" t="s">
        <v>1</v>
      </c>
      <c r="W83" s="315"/>
      <c r="X83" s="489"/>
      <c r="Y83" s="316"/>
      <c r="Z83" s="329"/>
    </row>
    <row r="84" spans="1:31" ht="15.75" thickBot="1" x14ac:dyDescent="0.3">
      <c r="A84" s="131">
        <v>80</v>
      </c>
      <c r="B84" s="184" t="s">
        <v>4</v>
      </c>
      <c r="C84" s="213">
        <f ca="1">C83+O75</f>
        <v>-6.9999999999999973</v>
      </c>
      <c r="D84" s="213">
        <f ca="1">C84+D83</f>
        <v>-7.3333333333333304</v>
      </c>
      <c r="E84" s="214"/>
      <c r="F84" s="214"/>
      <c r="G84" s="214"/>
      <c r="H84" s="215"/>
      <c r="I84" s="216"/>
      <c r="J84" s="217"/>
      <c r="K84" s="214"/>
      <c r="L84" s="218"/>
      <c r="M84" s="218"/>
      <c r="N84" s="218"/>
      <c r="O84" s="214"/>
      <c r="P84" s="215"/>
      <c r="Q84" s="219"/>
      <c r="R84" s="165"/>
      <c r="S84" s="62"/>
    </row>
    <row r="85" spans="1:31" ht="16.5" thickTop="1" thickBot="1" x14ac:dyDescent="0.3">
      <c r="A85" s="131">
        <v>81</v>
      </c>
      <c r="B85" s="220" t="s">
        <v>33</v>
      </c>
      <c r="C85" s="167"/>
      <c r="D85" s="167"/>
      <c r="E85" s="168" t="s">
        <v>26</v>
      </c>
      <c r="F85" s="168" t="s">
        <v>27</v>
      </c>
      <c r="G85" s="286" t="s">
        <v>28</v>
      </c>
      <c r="H85" s="221">
        <f t="shared" ref="H85:I85" si="166">H86</f>
        <v>44472</v>
      </c>
      <c r="I85" s="287">
        <f t="shared" si="166"/>
        <v>44473</v>
      </c>
      <c r="J85" s="171"/>
      <c r="K85" s="168" t="s">
        <v>31</v>
      </c>
      <c r="L85" s="168" t="s">
        <v>25</v>
      </c>
      <c r="M85" s="168" t="s">
        <v>26</v>
      </c>
      <c r="N85" s="168" t="s">
        <v>27</v>
      </c>
      <c r="O85" s="168" t="s">
        <v>28</v>
      </c>
      <c r="P85" s="221">
        <f t="shared" ref="P85:Q85" si="167">P86</f>
        <v>44479</v>
      </c>
      <c r="Q85" s="222">
        <f t="shared" si="167"/>
        <v>44480</v>
      </c>
      <c r="R85" s="468" t="s">
        <v>16</v>
      </c>
      <c r="S85" s="469"/>
      <c r="T85" s="470" t="s">
        <v>17</v>
      </c>
      <c r="U85" s="471"/>
      <c r="V85" s="491" t="s">
        <v>117</v>
      </c>
      <c r="W85" s="481"/>
      <c r="X85" s="481"/>
      <c r="Y85" s="482"/>
      <c r="Z85" s="328"/>
      <c r="AA85" s="450" t="s">
        <v>36</v>
      </c>
      <c r="AB85" s="451"/>
      <c r="AC85" s="451"/>
      <c r="AD85" s="451"/>
      <c r="AE85" s="452"/>
    </row>
    <row r="86" spans="1:31" ht="15.75" thickBot="1" x14ac:dyDescent="0.3">
      <c r="A86" s="131">
        <v>82</v>
      </c>
      <c r="B86" s="223" t="s">
        <v>5</v>
      </c>
      <c r="C86" s="3"/>
      <c r="D86" s="3"/>
      <c r="E86" s="67">
        <v>44469</v>
      </c>
      <c r="F86" s="67">
        <v>44470</v>
      </c>
      <c r="G86" s="67">
        <v>44471</v>
      </c>
      <c r="H86" s="117">
        <v>44472</v>
      </c>
      <c r="I86" s="118">
        <v>44473</v>
      </c>
      <c r="J86" s="70"/>
      <c r="K86" s="67">
        <v>44474</v>
      </c>
      <c r="L86" s="67">
        <v>44475</v>
      </c>
      <c r="M86" s="67">
        <v>44476</v>
      </c>
      <c r="N86" s="67">
        <v>44477</v>
      </c>
      <c r="O86" s="67">
        <v>44478</v>
      </c>
      <c r="P86" s="117">
        <v>44479</v>
      </c>
      <c r="Q86" s="224">
        <v>44480</v>
      </c>
      <c r="R86" s="162" t="s">
        <v>14</v>
      </c>
      <c r="S86" s="58" t="s">
        <v>15</v>
      </c>
      <c r="T86" s="64" t="s">
        <v>22</v>
      </c>
      <c r="U86" s="65" t="s">
        <v>18</v>
      </c>
      <c r="V86" s="308"/>
      <c r="W86" s="309" t="s">
        <v>15</v>
      </c>
      <c r="X86" s="310" t="s">
        <v>14</v>
      </c>
      <c r="Y86" s="310" t="s">
        <v>118</v>
      </c>
      <c r="Z86" s="329"/>
      <c r="AA86" s="453"/>
      <c r="AB86" s="454"/>
      <c r="AC86" s="454"/>
      <c r="AD86" s="454"/>
      <c r="AE86" s="455"/>
    </row>
    <row r="87" spans="1:31" x14ac:dyDescent="0.25">
      <c r="A87" s="131">
        <v>83</v>
      </c>
      <c r="B87" s="175" t="s">
        <v>0</v>
      </c>
      <c r="C87" s="16"/>
      <c r="D87" s="16"/>
      <c r="E87" s="333"/>
      <c r="F87" s="331"/>
      <c r="G87" s="331"/>
      <c r="H87" s="111"/>
      <c r="I87" s="111"/>
      <c r="J87" s="132" t="s">
        <v>0</v>
      </c>
      <c r="K87" s="331"/>
      <c r="L87" s="331"/>
      <c r="M87" s="331"/>
      <c r="N87" s="331"/>
      <c r="O87" s="331"/>
      <c r="P87" s="111"/>
      <c r="Q87" s="225"/>
      <c r="R87" s="163"/>
      <c r="S87" s="59"/>
      <c r="V87" s="311" t="s">
        <v>0</v>
      </c>
      <c r="W87" s="312"/>
      <c r="X87" s="483"/>
      <c r="Y87" s="313">
        <f>W88-W87</f>
        <v>0</v>
      </c>
      <c r="Z87" s="330"/>
      <c r="AA87" s="281" t="s">
        <v>107</v>
      </c>
      <c r="AB87" s="275" t="s">
        <v>94</v>
      </c>
      <c r="AC87" s="275" t="s">
        <v>95</v>
      </c>
      <c r="AD87" s="275" t="s">
        <v>96</v>
      </c>
      <c r="AE87" s="276" t="s">
        <v>97</v>
      </c>
    </row>
    <row r="88" spans="1:31" x14ac:dyDescent="0.25">
      <c r="A88" s="131">
        <v>84</v>
      </c>
      <c r="B88" s="177" t="s">
        <v>1</v>
      </c>
      <c r="C88" s="16"/>
      <c r="D88" s="16"/>
      <c r="E88" s="333"/>
      <c r="F88" s="331"/>
      <c r="G88" s="331"/>
      <c r="H88" s="111"/>
      <c r="I88" s="111"/>
      <c r="J88" s="133" t="s">
        <v>1</v>
      </c>
      <c r="K88" s="331"/>
      <c r="L88" s="331"/>
      <c r="M88" s="331"/>
      <c r="N88" s="331"/>
      <c r="O88" s="331"/>
      <c r="P88" s="111"/>
      <c r="Q88" s="225"/>
      <c r="R88" s="163"/>
      <c r="S88" s="59"/>
      <c r="V88" s="314" t="s">
        <v>1</v>
      </c>
      <c r="W88" s="315"/>
      <c r="X88" s="484"/>
      <c r="Y88" s="316"/>
      <c r="Z88" s="329"/>
      <c r="AA88" s="282" t="s">
        <v>106</v>
      </c>
      <c r="AB88" s="273" t="s">
        <v>98</v>
      </c>
      <c r="AC88" s="272" t="s">
        <v>99</v>
      </c>
      <c r="AD88" s="272" t="s">
        <v>100</v>
      </c>
      <c r="AE88" s="277" t="s">
        <v>101</v>
      </c>
    </row>
    <row r="89" spans="1:31" ht="15.75" thickBot="1" x14ac:dyDescent="0.3">
      <c r="A89" s="131">
        <v>85</v>
      </c>
      <c r="B89" s="175" t="s">
        <v>0</v>
      </c>
      <c r="C89" s="16"/>
      <c r="D89" s="16"/>
      <c r="E89" s="333"/>
      <c r="F89" s="331"/>
      <c r="G89" s="331"/>
      <c r="H89" s="111"/>
      <c r="I89" s="111"/>
      <c r="J89" s="132" t="s">
        <v>0</v>
      </c>
      <c r="K89" s="331"/>
      <c r="L89" s="331"/>
      <c r="M89" s="331"/>
      <c r="N89" s="331"/>
      <c r="O89" s="331"/>
      <c r="P89" s="111"/>
      <c r="Q89" s="225"/>
      <c r="R89" s="163"/>
      <c r="S89" s="59"/>
      <c r="V89" s="311" t="s">
        <v>0</v>
      </c>
      <c r="W89" s="317"/>
      <c r="X89" s="483"/>
      <c r="Y89" s="313">
        <f>W90-W89</f>
        <v>0</v>
      </c>
      <c r="Z89" s="330"/>
      <c r="AA89" s="297" t="s">
        <v>105</v>
      </c>
      <c r="AB89" s="298" t="s">
        <v>102</v>
      </c>
      <c r="AC89" s="298" t="s">
        <v>103</v>
      </c>
      <c r="AD89" s="298" t="s">
        <v>104</v>
      </c>
      <c r="AE89" s="299">
        <v>201</v>
      </c>
    </row>
    <row r="90" spans="1:31" x14ac:dyDescent="0.25">
      <c r="A90" s="131">
        <v>86</v>
      </c>
      <c r="B90" s="177" t="s">
        <v>1</v>
      </c>
      <c r="C90" s="16"/>
      <c r="D90" s="28"/>
      <c r="E90" s="331">
        <f t="shared" ref="E90" ca="1" si="168">IF((E89-E88)&gt;$K$2,$L$2+E87+(E89-E88)-IFERROR(OFFSET($S$5,MATCH(E86,$R$6:$R$165,0),0),),$L$2+E87+$K$2-IFERROR(OFFSET($S$5,MATCH(E86,$R$6:$R$165,0),0),))</f>
        <v>0.36458333333333331</v>
      </c>
      <c r="F90" s="331">
        <f t="shared" ref="F90" ca="1" si="169">IF((F89-F88)&gt;$K$2,$L$2+F87+(F89-F88)-IFERROR(OFFSET($S$5,MATCH(F86,$R$6:$R$165,0),0),),$L$2+F87+$K$2-IFERROR(OFFSET($S$5,MATCH(F86,$R$6:$R$165,0),0),))</f>
        <v>0.36458333333333331</v>
      </c>
      <c r="G90" s="331">
        <f t="shared" ref="G90" ca="1" si="170">IF((G89-G88)&gt;$K$2,$L$2+G87+(G89-G88)-IFERROR(OFFSET($S$5,MATCH(G86,$R$6:$R$165,0),0),),$L$2+G87+$K$2-IFERROR(OFFSET($S$5,MATCH(G86,$R$6:$R$165,0),0),))</f>
        <v>0.36458333333333331</v>
      </c>
      <c r="H90" s="111"/>
      <c r="I90" s="111"/>
      <c r="J90" s="133" t="s">
        <v>1</v>
      </c>
      <c r="K90" s="331">
        <f t="shared" ref="K90" ca="1" si="171">IF((K89-K88)&gt;$K$2,$L$2+K87+(K89-K88)-IFERROR(OFFSET($S$5,MATCH(K86,$R$6:$R$165,0),0),),$L$2+K87+$K$2-IFERROR(OFFSET($S$5,MATCH(K86,$R$6:$R$165,0),0),))</f>
        <v>0.36458333333333331</v>
      </c>
      <c r="L90" s="331">
        <f t="shared" ref="L90" ca="1" si="172">IF((L89-L88)&gt;$K$2,$L$2+L87+(L89-L88)-IFERROR(OFFSET($S$5,MATCH(L86,$R$6:$R$165,0),0),),$L$2+L87+$K$2-IFERROR(OFFSET($S$5,MATCH(L86,$R$6:$R$165,0),0),))</f>
        <v>0.36458333333333331</v>
      </c>
      <c r="M90" s="331">
        <f t="shared" ref="M90" ca="1" si="173">IF((M89-M88)&gt;$K$2,$L$2+M87+(M89-M88)-IFERROR(OFFSET($S$5,MATCH(M86,$R$6:$R$165,0),0),),$L$2+M87+$K$2-IFERROR(OFFSET($S$5,MATCH(M86,$R$6:$R$165,0),0),))</f>
        <v>0.36458333333333331</v>
      </c>
      <c r="N90" s="331">
        <f t="shared" ref="N90" ca="1" si="174">IF((N89-N88)&gt;$K$2,$L$2+N87+(N89-N88)-IFERROR(OFFSET($S$5,MATCH(N86,$R$6:$R$165,0),0),),$L$2+N87+$K$2-IFERROR(OFFSET($S$5,MATCH(N86,$R$6:$R$165,0),0),))</f>
        <v>0.36458333333333331</v>
      </c>
      <c r="O90" s="331">
        <f t="shared" ref="O90" ca="1" si="175">IF((O89-O88)&gt;$K$2,$L$2+O87+(O89-O88)-IFERROR(OFFSET($S$5,MATCH(O86,$R$6:$R$165,0),0),),$L$2+O87+$K$2-IFERROR(OFFSET($S$5,MATCH(O86,$R$6:$R$165,0),0),))</f>
        <v>0.36458333333333331</v>
      </c>
      <c r="P90" s="111"/>
      <c r="Q90" s="225"/>
      <c r="R90" s="163"/>
      <c r="S90" s="59"/>
      <c r="V90" s="314" t="s">
        <v>1</v>
      </c>
      <c r="W90" s="318"/>
      <c r="X90" s="484"/>
      <c r="Y90" s="316"/>
      <c r="Z90" s="329"/>
    </row>
    <row r="91" spans="1:31" x14ac:dyDescent="0.25">
      <c r="A91" s="131">
        <v>87</v>
      </c>
      <c r="B91" s="177" t="s">
        <v>2</v>
      </c>
      <c r="C91" s="19"/>
      <c r="D91" s="19"/>
      <c r="E91" s="332">
        <f t="shared" ref="E91" ca="1" si="176">IF(COUNT(E87,E88,E89)&gt;0,IF((E89-E88)&gt;$K$2,((E90-E87)-(E89-E88)),((E90-E87-$K$2))),$K$1)  + IFERROR(OFFSET($Y$5,MATCH(E86,$X$6:$X$165,0),0),$K$1) + IFERROR(OFFSET($S$5,MATCH(E86,$R$6:$R$165,0),0),)</f>
        <v>0</v>
      </c>
      <c r="F91" s="332">
        <f t="shared" ref="F91" ca="1" si="177">IF(COUNT(F87,F88,F89)&gt;0,IF((F89-F88)&gt;$K$2,((F90-F87)-(F89-F88)),((F90-F87-$K$2))),$K$1)  + IFERROR(OFFSET($Y$5,MATCH(F86,$X$6:$X$165,0),0),$K$1) + IFERROR(OFFSET($S$5,MATCH(F86,$R$6:$R$165,0),0),)</f>
        <v>0</v>
      </c>
      <c r="G91" s="332">
        <f t="shared" ref="G91" ca="1" si="178">IF(COUNT(G87,G88,G89)&gt;0,IF((G89-G88)&gt;$K$2,((G90-G87)-(G89-G88)),((G90-G87-$K$2))),$K$1)  + IFERROR(OFFSET($Y$5,MATCH(G86,$X$6:$X$165,0),0),$K$1) + IFERROR(OFFSET($S$5,MATCH(G86,$R$6:$R$165,0),0),)</f>
        <v>0</v>
      </c>
      <c r="H91" s="111"/>
      <c r="I91" s="111"/>
      <c r="J91" s="133" t="s">
        <v>2</v>
      </c>
      <c r="K91" s="332">
        <f t="shared" ref="K91" ca="1" si="179">IF(COUNT(K87,K88,K89)&gt;0,IF((K89-K88)&gt;$K$2,((K90-K87)-(K89-K88)),((K90-K87-$K$2))),$K$1)  + IFERROR(OFFSET($Y$5,MATCH(K86,$X$6:$X$165,0),0),$K$1) + IFERROR(OFFSET($S$5,MATCH(K86,$R$6:$R$165,0),0),)</f>
        <v>0</v>
      </c>
      <c r="L91" s="332">
        <f t="shared" ref="L91" ca="1" si="180">IF(COUNT(L87,L88,L89)&gt;0,IF((L89-L88)&gt;$K$2,((L90-L87)-(L89-L88)),((L90-L87-$K$2))),$K$1)  + IFERROR(OFFSET($Y$5,MATCH(L86,$X$6:$X$165,0),0),$K$1) + IFERROR(OFFSET($S$5,MATCH(L86,$R$6:$R$165,0),0),)</f>
        <v>0</v>
      </c>
      <c r="M91" s="332">
        <f t="shared" ref="M91" ca="1" si="181">IF(COUNT(M87,M88,M89)&gt;0,IF((M89-M88)&gt;$K$2,((M90-M87)-(M89-M88)),((M90-M87-$K$2))),$K$1)  + IFERROR(OFFSET($Y$5,MATCH(M86,$X$6:$X$165,0),0),$K$1) + IFERROR(OFFSET($S$5,MATCH(M86,$R$6:$R$165,0),0),)</f>
        <v>0</v>
      </c>
      <c r="N91" s="332">
        <f t="shared" ref="N91" ca="1" si="182">IF(COUNT(N87,N88,N89)&gt;0,IF((N89-N88)&gt;$K$2,((N90-N87)-(N89-N88)),((N90-N87-$K$2))),$K$1)  + IFERROR(OFFSET($Y$5,MATCH(N86,$X$6:$X$165,0),0),$K$1) + IFERROR(OFFSET($S$5,MATCH(N86,$R$6:$R$165,0),0),)</f>
        <v>0</v>
      </c>
      <c r="O91" s="332">
        <f t="shared" ref="O91" ca="1" si="183">IF(COUNT(O87,O88,O89)&gt;0,IF((O89-O88)&gt;$K$2,((O90-O87)-(O89-O88)),((O90-O87-$K$2))),$K$1)  + IFERROR(OFFSET($Y$5,MATCH(O86,$X$6:$X$165,0),0),$K$1) + IFERROR(OFFSET($S$5,MATCH(O86,$R$6:$R$165,0),0),)</f>
        <v>0</v>
      </c>
      <c r="P91" s="111"/>
      <c r="Q91" s="225"/>
      <c r="R91" s="163"/>
      <c r="S91" s="59"/>
      <c r="V91" s="311" t="s">
        <v>0</v>
      </c>
      <c r="W91" s="317"/>
      <c r="X91" s="483"/>
      <c r="Y91" s="313">
        <f>W92-W91</f>
        <v>0</v>
      </c>
      <c r="Z91" s="330"/>
    </row>
    <row r="92" spans="1:31" x14ac:dyDescent="0.25">
      <c r="A92" s="131">
        <v>88</v>
      </c>
      <c r="B92" s="177" t="s">
        <v>3</v>
      </c>
      <c r="C92" s="19"/>
      <c r="D92" s="19"/>
      <c r="E92" s="332">
        <f t="shared" ref="E92" ca="1" si="184">IFERROR(E91+OFFSET($S$5,MATCH(E86,$R$6:$R$165,0),0)-$L$2,E91-$L$2) -IFERROR(OFFSET($S$5,MATCH(E86,$R$6:$R$165,0),0),)</f>
        <v>-0.33333333333333331</v>
      </c>
      <c r="F92" s="332">
        <f t="shared" ref="F92" ca="1" si="185">IFERROR(F91+OFFSET($S$5,MATCH(F86,$R$6:$R$165,0),0)-$L$2,F91-$L$2) -IFERROR(OFFSET($S$5,MATCH(F86,$R$6:$R$165,0),0),)</f>
        <v>-0.33333333333333331</v>
      </c>
      <c r="G92" s="332">
        <f t="shared" ref="G92" ca="1" si="186">IFERROR(G91+OFFSET($S$5,MATCH(G86,$R$6:$R$165,0),0)-$L$2,G91-$L$2) -IFERROR(OFFSET($S$5,MATCH(G86,$R$6:$R$165,0),0),)</f>
        <v>-0.33333333333333331</v>
      </c>
      <c r="H92" s="111"/>
      <c r="I92" s="111"/>
      <c r="J92" s="133" t="s">
        <v>3</v>
      </c>
      <c r="K92" s="332">
        <f t="shared" ref="K92" ca="1" si="187">IFERROR(K91+OFFSET($S$5,MATCH(K86,$R$6:$R$165,0),0)-$L$2,K91-$L$2) -IFERROR(OFFSET($S$5,MATCH(K86,$R$6:$R$165,0),0),)</f>
        <v>-0.33333333333333331</v>
      </c>
      <c r="L92" s="332">
        <f t="shared" ref="L92" ca="1" si="188">IFERROR(L91+OFFSET($S$5,MATCH(L86,$R$6:$R$165,0),0)-$L$2,L91-$L$2) -IFERROR(OFFSET($S$5,MATCH(L86,$R$6:$R$165,0),0),)</f>
        <v>-0.33333333333333331</v>
      </c>
      <c r="M92" s="332">
        <f t="shared" ref="M92" ca="1" si="189">IFERROR(M91+OFFSET($S$5,MATCH(M86,$R$6:$R$165,0),0)-$L$2,M91-$L$2) -IFERROR(OFFSET($S$5,MATCH(M86,$R$6:$R$165,0),0),)</f>
        <v>-0.33333333333333331</v>
      </c>
      <c r="N92" s="332">
        <f t="shared" ref="N92" ca="1" si="190">IFERROR(N91+OFFSET($S$5,MATCH(N86,$R$6:$R$165,0),0)-$L$2,N91-$L$2) -IFERROR(OFFSET($S$5,MATCH(N86,$R$6:$R$165,0),0),)</f>
        <v>-0.33333333333333331</v>
      </c>
      <c r="O92" s="332">
        <f t="shared" ref="O92" ca="1" si="191">IFERROR(O91+OFFSET($S$5,MATCH(O86,$R$6:$R$165,0),0)-$L$2,O91-$L$2) -IFERROR(OFFSET($S$5,MATCH(O86,$R$6:$R$165,0),0),)</f>
        <v>-0.33333333333333331</v>
      </c>
      <c r="P92" s="111"/>
      <c r="Q92" s="225"/>
      <c r="R92" s="163"/>
      <c r="S92" s="59"/>
      <c r="V92" s="314" t="s">
        <v>1</v>
      </c>
      <c r="W92" s="318"/>
      <c r="X92" s="484"/>
      <c r="Y92" s="316"/>
      <c r="Z92" s="329"/>
    </row>
    <row r="93" spans="1:31" ht="15.75" thickBot="1" x14ac:dyDescent="0.3">
      <c r="A93" s="131">
        <v>89</v>
      </c>
      <c r="B93" s="177" t="s">
        <v>4</v>
      </c>
      <c r="C93" s="21"/>
      <c r="D93" s="21"/>
      <c r="E93" s="15">
        <f t="shared" ref="E93" ca="1" si="192">D93+E92</f>
        <v>-0.33333333333333331</v>
      </c>
      <c r="F93" s="15">
        <f t="shared" ref="F93" ca="1" si="193">E93+F92</f>
        <v>-0.66666666666666663</v>
      </c>
      <c r="G93" s="15">
        <f t="shared" ref="G93" ca="1" si="194">F93+G92</f>
        <v>-1</v>
      </c>
      <c r="H93" s="111"/>
      <c r="I93" s="111"/>
      <c r="J93" s="133" t="s">
        <v>4</v>
      </c>
      <c r="K93" s="22">
        <f ca="1">K92+G93</f>
        <v>-1.3333333333333333</v>
      </c>
      <c r="L93" s="22">
        <f ca="1">K93+L92</f>
        <v>-1.6666666666666665</v>
      </c>
      <c r="M93" s="22">
        <f t="shared" ref="M93" ca="1" si="195">L93+M92</f>
        <v>-1.9999999999999998</v>
      </c>
      <c r="N93" s="22">
        <f t="shared" ref="N93" ca="1" si="196">M93+N92</f>
        <v>-2.333333333333333</v>
      </c>
      <c r="O93" s="22">
        <f t="shared" ref="O93" ca="1" si="197">N93+O92</f>
        <v>-2.6666666666666665</v>
      </c>
      <c r="P93" s="111"/>
      <c r="Q93" s="225"/>
      <c r="R93" s="163"/>
      <c r="S93" s="59"/>
      <c r="V93" s="319" t="s">
        <v>0</v>
      </c>
      <c r="W93" s="320"/>
      <c r="X93" s="485"/>
      <c r="Y93" s="321">
        <f>W94-W93</f>
        <v>0</v>
      </c>
      <c r="Z93" s="330"/>
    </row>
    <row r="94" spans="1:31" x14ac:dyDescent="0.25">
      <c r="A94" s="131">
        <v>90</v>
      </c>
      <c r="B94" s="226" t="s">
        <v>33</v>
      </c>
      <c r="C94" s="66" t="s">
        <v>31</v>
      </c>
      <c r="D94" s="258" t="s">
        <v>25</v>
      </c>
      <c r="E94" s="66" t="s">
        <v>26</v>
      </c>
      <c r="F94" s="66" t="s">
        <v>27</v>
      </c>
      <c r="G94" s="66" t="s">
        <v>28</v>
      </c>
      <c r="H94" s="109">
        <f t="shared" ref="H94:I94" si="198">H95</f>
        <v>44486</v>
      </c>
      <c r="I94" s="110">
        <f t="shared" si="198"/>
        <v>44487</v>
      </c>
      <c r="J94" s="68"/>
      <c r="K94" s="66" t="s">
        <v>31</v>
      </c>
      <c r="L94" s="66" t="s">
        <v>25</v>
      </c>
      <c r="M94" s="66" t="s">
        <v>26</v>
      </c>
      <c r="N94" s="66" t="s">
        <v>27</v>
      </c>
      <c r="O94" s="66" t="s">
        <v>28</v>
      </c>
      <c r="P94" s="109">
        <f t="shared" ref="P94:Q94" si="199">P95</f>
        <v>44493</v>
      </c>
      <c r="Q94" s="227">
        <f t="shared" si="199"/>
        <v>44494</v>
      </c>
      <c r="R94" s="163"/>
      <c r="S94" s="59"/>
      <c r="V94" s="314" t="s">
        <v>1</v>
      </c>
      <c r="W94" s="320"/>
      <c r="X94" s="485"/>
      <c r="Y94" s="322"/>
      <c r="Z94" s="329"/>
    </row>
    <row r="95" spans="1:31" ht="15.75" thickBot="1" x14ac:dyDescent="0.3">
      <c r="A95" s="131">
        <v>91</v>
      </c>
      <c r="B95" s="223" t="s">
        <v>5</v>
      </c>
      <c r="C95" s="67">
        <v>44481</v>
      </c>
      <c r="D95" s="67">
        <v>44482</v>
      </c>
      <c r="E95" s="67">
        <v>44483</v>
      </c>
      <c r="F95" s="67">
        <v>44484</v>
      </c>
      <c r="G95" s="67">
        <v>44485</v>
      </c>
      <c r="H95" s="117">
        <v>44486</v>
      </c>
      <c r="I95" s="117">
        <v>44487</v>
      </c>
      <c r="J95" s="70"/>
      <c r="K95" s="67">
        <v>44488</v>
      </c>
      <c r="L95" s="67">
        <v>44489</v>
      </c>
      <c r="M95" s="67">
        <v>44490</v>
      </c>
      <c r="N95" s="67">
        <v>44491</v>
      </c>
      <c r="O95" s="67">
        <v>44492</v>
      </c>
      <c r="P95" s="117">
        <v>44493</v>
      </c>
      <c r="Q95" s="224">
        <v>44494</v>
      </c>
      <c r="R95" s="163"/>
      <c r="S95" s="59"/>
      <c r="V95" s="311" t="s">
        <v>0</v>
      </c>
      <c r="W95" s="312"/>
      <c r="X95" s="488"/>
      <c r="Y95" s="313">
        <f>W96-W95</f>
        <v>0</v>
      </c>
      <c r="Z95" s="330"/>
    </row>
    <row r="96" spans="1:31" x14ac:dyDescent="0.25">
      <c r="A96" s="131">
        <v>92</v>
      </c>
      <c r="B96" s="175" t="s">
        <v>0</v>
      </c>
      <c r="C96" s="331"/>
      <c r="D96" s="331"/>
      <c r="E96" s="331"/>
      <c r="F96" s="331"/>
      <c r="G96" s="331"/>
      <c r="H96" s="111"/>
      <c r="I96" s="111"/>
      <c r="J96" s="132" t="s">
        <v>0</v>
      </c>
      <c r="K96" s="331"/>
      <c r="L96" s="331"/>
      <c r="M96" s="331"/>
      <c r="N96" s="331"/>
      <c r="O96" s="331"/>
      <c r="P96" s="111"/>
      <c r="Q96" s="225"/>
      <c r="R96" s="163"/>
      <c r="S96" s="59"/>
      <c r="V96" s="314" t="s">
        <v>1</v>
      </c>
      <c r="W96" s="315"/>
      <c r="X96" s="489"/>
      <c r="Y96" s="316"/>
      <c r="Z96" s="329"/>
    </row>
    <row r="97" spans="1:31" x14ac:dyDescent="0.25">
      <c r="A97" s="131">
        <v>93</v>
      </c>
      <c r="B97" s="177" t="s">
        <v>1</v>
      </c>
      <c r="C97" s="331"/>
      <c r="D97" s="331"/>
      <c r="E97" s="331"/>
      <c r="F97" s="331"/>
      <c r="G97" s="331"/>
      <c r="H97" s="111"/>
      <c r="I97" s="111"/>
      <c r="J97" s="133" t="s">
        <v>1</v>
      </c>
      <c r="K97" s="331"/>
      <c r="L97" s="331"/>
      <c r="M97" s="331"/>
      <c r="N97" s="331"/>
      <c r="O97" s="331"/>
      <c r="P97" s="111"/>
      <c r="Q97" s="225"/>
      <c r="R97" s="164"/>
      <c r="S97" s="60"/>
      <c r="V97" s="311" t="s">
        <v>0</v>
      </c>
      <c r="W97" s="320"/>
      <c r="X97" s="485"/>
      <c r="Y97" s="321">
        <f>W98-W97</f>
        <v>0</v>
      </c>
      <c r="Z97" s="330"/>
    </row>
    <row r="98" spans="1:31" x14ac:dyDescent="0.25">
      <c r="A98" s="131">
        <v>94</v>
      </c>
      <c r="B98" s="175" t="s">
        <v>0</v>
      </c>
      <c r="C98" s="331"/>
      <c r="D98" s="331"/>
      <c r="E98" s="331"/>
      <c r="F98" s="331"/>
      <c r="G98" s="331"/>
      <c r="H98" s="111"/>
      <c r="I98" s="111"/>
      <c r="J98" s="132" t="s">
        <v>0</v>
      </c>
      <c r="K98" s="331"/>
      <c r="L98" s="331"/>
      <c r="M98" s="331"/>
      <c r="N98" s="331"/>
      <c r="O98" s="331"/>
      <c r="P98" s="111"/>
      <c r="Q98" s="225"/>
      <c r="R98" s="164"/>
      <c r="S98" s="60"/>
      <c r="V98" s="314" t="s">
        <v>1</v>
      </c>
      <c r="W98" s="315"/>
      <c r="X98" s="489"/>
      <c r="Y98" s="316"/>
      <c r="Z98" s="329"/>
    </row>
    <row r="99" spans="1:31" x14ac:dyDescent="0.25">
      <c r="A99" s="131">
        <v>95</v>
      </c>
      <c r="B99" s="177" t="s">
        <v>1</v>
      </c>
      <c r="C99" s="331">
        <f t="shared" ref="C99" ca="1" si="200">IF((C98-C97)&gt;$K$2,$L$2+C96+(C98-C97)-IFERROR(OFFSET($S$5,MATCH(C95,$R$6:$R$165,0),0),),$L$2+C96+$K$2-IFERROR(OFFSET($S$5,MATCH(C95,$R$6:$R$165,0),0),))</f>
        <v>0.36458333333333331</v>
      </c>
      <c r="D99" s="331">
        <f t="shared" ref="D99" ca="1" si="201">IF((D98-D97)&gt;$K$2,$L$2+D96+(D98-D97)-IFERROR(OFFSET($S$5,MATCH(D95,$R$6:$R$165,0),0),),$L$2+D96+$K$2-IFERROR(OFFSET($S$5,MATCH(D95,$R$6:$R$165,0),0),))</f>
        <v>0.36458333333333331</v>
      </c>
      <c r="E99" s="331">
        <f t="shared" ref="E99" ca="1" si="202">IF((E98-E97)&gt;$K$2,$L$2+E96+(E98-E97)-IFERROR(OFFSET($S$5,MATCH(E95,$R$6:$R$165,0),0),),$L$2+E96+$K$2-IFERROR(OFFSET($S$5,MATCH(E95,$R$6:$R$165,0),0),))</f>
        <v>0.36458333333333331</v>
      </c>
      <c r="F99" s="331">
        <f t="shared" ref="F99" ca="1" si="203">IF((F98-F97)&gt;$K$2,$L$2+F96+(F98-F97)-IFERROR(OFFSET($S$5,MATCH(F95,$R$6:$R$165,0),0),),$L$2+F96+$K$2-IFERROR(OFFSET($S$5,MATCH(F95,$R$6:$R$165,0),0),))</f>
        <v>0.36458333333333331</v>
      </c>
      <c r="G99" s="331">
        <f t="shared" ref="G99" ca="1" si="204">IF((G98-G97)&gt;$K$2,$L$2+G96+(G98-G97)-IFERROR(OFFSET($S$5,MATCH(G95,$R$6:$R$165,0),0),),$L$2+G96+$K$2-IFERROR(OFFSET($S$5,MATCH(G95,$R$6:$R$165,0),0),))</f>
        <v>0.36458333333333331</v>
      </c>
      <c r="H99" s="111"/>
      <c r="I99" s="111"/>
      <c r="J99" s="133" t="s">
        <v>1</v>
      </c>
      <c r="K99" s="331">
        <f t="shared" ref="K99" ca="1" si="205">IF((K98-K97)&gt;$K$2,$L$2+K96+(K98-K97)-IFERROR(OFFSET($S$5,MATCH(K95,$R$6:$R$165,0),0),),$L$2+K96+$K$2-IFERROR(OFFSET($S$5,MATCH(K95,$R$6:$R$165,0),0),))</f>
        <v>0.36458333333333331</v>
      </c>
      <c r="L99" s="331">
        <f t="shared" ref="L99" ca="1" si="206">IF((L98-L97)&gt;$K$2,$L$2+L96+(L98-L97)-IFERROR(OFFSET($S$5,MATCH(L95,$R$6:$R$165,0),0),),$L$2+L96+$K$2-IFERROR(OFFSET($S$5,MATCH(L95,$R$6:$R$165,0),0),))</f>
        <v>0.36458333333333331</v>
      </c>
      <c r="M99" s="331">
        <f t="shared" ref="M99" ca="1" si="207">IF((M98-M97)&gt;$K$2,$L$2+M96+(M98-M97)-IFERROR(OFFSET($S$5,MATCH(M95,$R$6:$R$165,0),0),),$L$2+M96+$K$2-IFERROR(OFFSET($S$5,MATCH(M95,$R$6:$R$165,0),0),))</f>
        <v>0.36458333333333331</v>
      </c>
      <c r="N99" s="331">
        <f t="shared" ref="N99" ca="1" si="208">IF((N98-N97)&gt;$K$2,$L$2+N96+(N98-N97)-IFERROR(OFFSET($S$5,MATCH(N95,$R$6:$R$165,0),0),),$L$2+N96+$K$2-IFERROR(OFFSET($S$5,MATCH(N95,$R$6:$R$165,0),0),))</f>
        <v>0.36458333333333331</v>
      </c>
      <c r="O99" s="331">
        <f t="shared" ref="O99" ca="1" si="209">IF((O98-O97)&gt;$K$2,$L$2+O96+(O98-O97)-IFERROR(OFFSET($S$5,MATCH(O95,$R$6:$R$165,0),0),),$L$2+O96+$K$2-IFERROR(OFFSET($S$5,MATCH(O95,$R$6:$R$165,0),0),))</f>
        <v>0.36458333333333331</v>
      </c>
      <c r="P99" s="111"/>
      <c r="Q99" s="225"/>
      <c r="R99" s="164"/>
      <c r="S99" s="61"/>
      <c r="V99" s="311" t="s">
        <v>0</v>
      </c>
      <c r="W99" s="312"/>
      <c r="X99" s="483"/>
      <c r="Y99" s="313">
        <f>W100-W99</f>
        <v>0</v>
      </c>
      <c r="Z99" s="330"/>
    </row>
    <row r="100" spans="1:31" x14ac:dyDescent="0.25">
      <c r="A100" s="131">
        <v>96</v>
      </c>
      <c r="B100" s="177" t="s">
        <v>2</v>
      </c>
      <c r="C100" s="332">
        <f t="shared" ref="C100" ca="1" si="210">IF(COUNT(C96,C97,C98)&gt;0,IF((C98-C97)&gt;$K$2,((C99-C96)-(C98-C97)),((C99-C96-$K$2))),$K$1)  + IFERROR(OFFSET($Y$5,MATCH(C95,$X$6:$X$165,0),0),$K$1) + IFERROR(OFFSET($S$5,MATCH(C95,$R$6:$R$165,0),0),)</f>
        <v>0</v>
      </c>
      <c r="D100" s="332">
        <f t="shared" ref="D100" ca="1" si="211">IF(COUNT(D96,D97,D98)&gt;0,IF((D98-D97)&gt;$K$2,((D99-D96)-(D98-D97)),((D99-D96-$K$2))),$K$1)  + IFERROR(OFFSET($Y$5,MATCH(D95,$X$6:$X$165,0),0),$K$1) + IFERROR(OFFSET($S$5,MATCH(D95,$R$6:$R$165,0),0),)</f>
        <v>0</v>
      </c>
      <c r="E100" s="332">
        <f t="shared" ref="E100" ca="1" si="212">IF(COUNT(E96,E97,E98)&gt;0,IF((E98-E97)&gt;$K$2,((E99-E96)-(E98-E97)),((E99-E96-$K$2))),$K$1)  + IFERROR(OFFSET($Y$5,MATCH(E95,$X$6:$X$165,0),0),$K$1) + IFERROR(OFFSET($S$5,MATCH(E95,$R$6:$R$165,0),0),)</f>
        <v>0</v>
      </c>
      <c r="F100" s="332">
        <f t="shared" ref="F100" ca="1" si="213">IF(COUNT(F96,F97,F98)&gt;0,IF((F98-F97)&gt;$K$2,((F99-F96)-(F98-F97)),((F99-F96-$K$2))),$K$1)  + IFERROR(OFFSET($Y$5,MATCH(F95,$X$6:$X$165,0),0),$K$1) + IFERROR(OFFSET($S$5,MATCH(F95,$R$6:$R$165,0),0),)</f>
        <v>0</v>
      </c>
      <c r="G100" s="332">
        <f t="shared" ref="G100" ca="1" si="214">IF(COUNT(G96,G97,G98)&gt;0,IF((G98-G97)&gt;$K$2,((G99-G96)-(G98-G97)),((G99-G96-$K$2))),$K$1)  + IFERROR(OFFSET($Y$5,MATCH(G95,$X$6:$X$165,0),0),$K$1) + IFERROR(OFFSET($S$5,MATCH(G95,$R$6:$R$165,0),0),)</f>
        <v>0</v>
      </c>
      <c r="H100" s="111"/>
      <c r="I100" s="111"/>
      <c r="J100" s="133" t="s">
        <v>2</v>
      </c>
      <c r="K100" s="332">
        <f t="shared" ref="K100" ca="1" si="215">IF(COUNT(K96,K97,K98)&gt;0,IF((K98-K97)&gt;$K$2,((K99-K96)-(K98-K97)),((K99-K96-$K$2))),$K$1)  + IFERROR(OFFSET($Y$5,MATCH(K95,$X$6:$X$165,0),0),$K$1) + IFERROR(OFFSET($S$5,MATCH(K95,$R$6:$R$165,0),0),)</f>
        <v>0</v>
      </c>
      <c r="L100" s="332">
        <f t="shared" ref="L100" ca="1" si="216">IF(COUNT(L96,L97,L98)&gt;0,IF((L98-L97)&gt;$K$2,((L99-L96)-(L98-L97)),((L99-L96-$K$2))),$K$1)  + IFERROR(OFFSET($Y$5,MATCH(L95,$X$6:$X$165,0),0),$K$1) + IFERROR(OFFSET($S$5,MATCH(L95,$R$6:$R$165,0),0),)</f>
        <v>0</v>
      </c>
      <c r="M100" s="332">
        <f t="shared" ref="M100" ca="1" si="217">IF(COUNT(M96,M97,M98)&gt;0,IF((M98-M97)&gt;$K$2,((M99-M96)-(M98-M97)),((M99-M96-$K$2))),$K$1)  + IFERROR(OFFSET($Y$5,MATCH(M95,$X$6:$X$165,0),0),$K$1) + IFERROR(OFFSET($S$5,MATCH(M95,$R$6:$R$165,0),0),)</f>
        <v>0</v>
      </c>
      <c r="N100" s="332">
        <f t="shared" ref="N100" ca="1" si="218">IF(COUNT(N96,N97,N98)&gt;0,IF((N98-N97)&gt;$K$2,((N99-N96)-(N98-N97)),((N99-N96-$K$2))),$K$1)  + IFERROR(OFFSET($Y$5,MATCH(N95,$X$6:$X$165,0),0),$K$1) + IFERROR(OFFSET($S$5,MATCH(N95,$R$6:$R$165,0),0),)</f>
        <v>0</v>
      </c>
      <c r="O100" s="332">
        <f t="shared" ref="O100" ca="1" si="219">IF(COUNT(O96,O97,O98)&gt;0,IF((O98-O97)&gt;$K$2,((O99-O96)-(O98-O97)),((O99-O96-$K$2))),$K$1)  + IFERROR(OFFSET($Y$5,MATCH(O95,$X$6:$X$165,0),0),$K$1) + IFERROR(OFFSET($S$5,MATCH(O95,$R$6:$R$165,0),0),)</f>
        <v>0</v>
      </c>
      <c r="P100" s="111"/>
      <c r="Q100" s="225"/>
      <c r="R100" s="164"/>
      <c r="S100" s="60"/>
      <c r="V100" s="314" t="s">
        <v>1</v>
      </c>
      <c r="W100" s="315"/>
      <c r="X100" s="484"/>
      <c r="Y100" s="316"/>
      <c r="Z100" s="329"/>
    </row>
    <row r="101" spans="1:31" x14ac:dyDescent="0.25">
      <c r="A101" s="131">
        <v>97</v>
      </c>
      <c r="B101" s="177" t="s">
        <v>3</v>
      </c>
      <c r="C101" s="332">
        <f t="shared" ref="C101" ca="1" si="220">IFERROR(C100+OFFSET($S$5,MATCH(C95,$R$6:$R$165,0),0)-$L$2,C100-$L$2) -IFERROR(OFFSET($S$5,MATCH(C95,$R$6:$R$165,0),0),)</f>
        <v>-0.33333333333333331</v>
      </c>
      <c r="D101" s="332">
        <f t="shared" ref="D101" ca="1" si="221">IFERROR(D100+OFFSET($S$5,MATCH(D95,$R$6:$R$165,0),0)-$L$2,D100-$L$2) -IFERROR(OFFSET($S$5,MATCH(D95,$R$6:$R$165,0),0),)</f>
        <v>-0.33333333333333331</v>
      </c>
      <c r="E101" s="332">
        <f t="shared" ref="E101" ca="1" si="222">IFERROR(E100+OFFSET($S$5,MATCH(E95,$R$6:$R$165,0),0)-$L$2,E100-$L$2) -IFERROR(OFFSET($S$5,MATCH(E95,$R$6:$R$165,0),0),)</f>
        <v>-0.33333333333333331</v>
      </c>
      <c r="F101" s="332">
        <f t="shared" ref="F101" ca="1" si="223">IFERROR(F100+OFFSET($S$5,MATCH(F95,$R$6:$R$165,0),0)-$L$2,F100-$L$2) -IFERROR(OFFSET($S$5,MATCH(F95,$R$6:$R$165,0),0),)</f>
        <v>-0.33333333333333331</v>
      </c>
      <c r="G101" s="332">
        <f t="shared" ref="G101" ca="1" si="224">IFERROR(G100+OFFSET($S$5,MATCH(G95,$R$6:$R$165,0),0)-$L$2,G100-$L$2) -IFERROR(OFFSET($S$5,MATCH(G95,$R$6:$R$165,0),0),)</f>
        <v>-0.33333333333333331</v>
      </c>
      <c r="H101" s="111"/>
      <c r="I101" s="111"/>
      <c r="J101" s="133" t="s">
        <v>3</v>
      </c>
      <c r="K101" s="332">
        <f t="shared" ref="K101" ca="1" si="225">IFERROR(K100+OFFSET($S$5,MATCH(K95,$R$6:$R$165,0),0)-$L$2,K100-$L$2) -IFERROR(OFFSET($S$5,MATCH(K95,$R$6:$R$165,0),0),)</f>
        <v>-0.33333333333333331</v>
      </c>
      <c r="L101" s="332">
        <f t="shared" ref="L101" ca="1" si="226">IFERROR(L100+OFFSET($S$5,MATCH(L95,$R$6:$R$165,0),0)-$L$2,L100-$L$2) -IFERROR(OFFSET($S$5,MATCH(L95,$R$6:$R$165,0),0),)</f>
        <v>-0.33333333333333331</v>
      </c>
      <c r="M101" s="332">
        <f t="shared" ref="M101" ca="1" si="227">IFERROR(M100+OFFSET($S$5,MATCH(M95,$R$6:$R$165,0),0)-$L$2,M100-$L$2) -IFERROR(OFFSET($S$5,MATCH(M95,$R$6:$R$165,0),0),)</f>
        <v>-0.33333333333333331</v>
      </c>
      <c r="N101" s="332">
        <f t="shared" ref="N101" ca="1" si="228">IFERROR(N100+OFFSET($S$5,MATCH(N95,$R$6:$R$165,0),0)-$L$2,N100-$L$2) -IFERROR(OFFSET($S$5,MATCH(N95,$R$6:$R$165,0),0),)</f>
        <v>-0.33333333333333331</v>
      </c>
      <c r="O101" s="332">
        <f t="shared" ref="O101" ca="1" si="229">IFERROR(O100+OFFSET($S$5,MATCH(O95,$R$6:$R$165,0),0)-$L$2,O100-$L$2) -IFERROR(OFFSET($S$5,MATCH(O95,$R$6:$R$165,0),0),)</f>
        <v>-0.33333333333333331</v>
      </c>
      <c r="P101" s="111"/>
      <c r="Q101" s="225"/>
      <c r="R101" s="164"/>
      <c r="S101" s="60"/>
      <c r="V101" s="311" t="s">
        <v>0</v>
      </c>
      <c r="W101" s="317"/>
      <c r="X101" s="483"/>
      <c r="Y101" s="313">
        <f>W102-W101</f>
        <v>0</v>
      </c>
      <c r="Z101" s="330"/>
    </row>
    <row r="102" spans="1:31" ht="15.75" thickBot="1" x14ac:dyDescent="0.3">
      <c r="A102" s="131">
        <v>98</v>
      </c>
      <c r="B102" s="177" t="s">
        <v>4</v>
      </c>
      <c r="C102" s="22">
        <f ca="1">C101+O93</f>
        <v>-3</v>
      </c>
      <c r="D102" s="22">
        <f ca="1">C102+D101</f>
        <v>-3.3333333333333335</v>
      </c>
      <c r="E102" s="22">
        <f t="shared" ref="E102" ca="1" si="230">D102+E101</f>
        <v>-3.666666666666667</v>
      </c>
      <c r="F102" s="22">
        <f t="shared" ref="F102" ca="1" si="231">E102+F101</f>
        <v>-4</v>
      </c>
      <c r="G102" s="22">
        <f t="shared" ref="G102" ca="1" si="232">F102+G101</f>
        <v>-4.333333333333333</v>
      </c>
      <c r="H102" s="112"/>
      <c r="I102" s="111"/>
      <c r="J102" s="133" t="s">
        <v>4</v>
      </c>
      <c r="K102" s="22">
        <f ca="1">K101+G102</f>
        <v>-4.6666666666666661</v>
      </c>
      <c r="L102" s="22">
        <f ca="1">K102+L101</f>
        <v>-4.9999999999999991</v>
      </c>
      <c r="M102" s="22">
        <f t="shared" ref="M102" ca="1" si="233">L102+M101</f>
        <v>-5.3333333333333321</v>
      </c>
      <c r="N102" s="22">
        <f t="shared" ref="N102" ca="1" si="234">M102+N101</f>
        <v>-5.6666666666666652</v>
      </c>
      <c r="O102" s="22">
        <f t="shared" ref="O102" ca="1" si="235">N102+O101</f>
        <v>-5.9999999999999982</v>
      </c>
      <c r="P102" s="111"/>
      <c r="Q102" s="225"/>
      <c r="R102" s="164"/>
      <c r="S102" s="60"/>
      <c r="V102" s="314" t="s">
        <v>1</v>
      </c>
      <c r="W102" s="318"/>
      <c r="X102" s="484"/>
      <c r="Y102" s="316"/>
      <c r="Z102" s="329"/>
    </row>
    <row r="103" spans="1:31" x14ac:dyDescent="0.25">
      <c r="A103" s="131">
        <v>99</v>
      </c>
      <c r="B103" s="226" t="s">
        <v>33</v>
      </c>
      <c r="C103" s="66" t="s">
        <v>31</v>
      </c>
      <c r="D103" s="66" t="s">
        <v>25</v>
      </c>
      <c r="E103" s="66" t="s">
        <v>26</v>
      </c>
      <c r="F103" s="258" t="s">
        <v>27</v>
      </c>
      <c r="G103" s="66" t="s">
        <v>28</v>
      </c>
      <c r="H103" s="109">
        <f t="shared" ref="H103:I103" si="236">H104</f>
        <v>44500</v>
      </c>
      <c r="I103" s="110">
        <f t="shared" si="236"/>
        <v>44501</v>
      </c>
      <c r="J103" s="36"/>
      <c r="K103" s="2"/>
      <c r="L103" s="2"/>
      <c r="M103" s="2"/>
      <c r="N103" s="2"/>
      <c r="O103" s="2"/>
      <c r="P103" s="109"/>
      <c r="Q103" s="227"/>
      <c r="R103" s="164"/>
      <c r="S103" s="60"/>
      <c r="V103" s="311" t="s">
        <v>0</v>
      </c>
      <c r="W103" s="317"/>
      <c r="X103" s="483"/>
      <c r="Y103" s="313">
        <f>W104-W103</f>
        <v>0</v>
      </c>
      <c r="Z103" s="330"/>
    </row>
    <row r="104" spans="1:31" ht="15.75" thickBot="1" x14ac:dyDescent="0.3">
      <c r="A104" s="131">
        <v>100</v>
      </c>
      <c r="B104" s="223" t="s">
        <v>5</v>
      </c>
      <c r="C104" s="67">
        <v>44495</v>
      </c>
      <c r="D104" s="67">
        <v>44496</v>
      </c>
      <c r="E104" s="67">
        <v>44497</v>
      </c>
      <c r="F104" s="67">
        <v>44498</v>
      </c>
      <c r="G104" s="67">
        <v>44499</v>
      </c>
      <c r="H104" s="117">
        <v>44500</v>
      </c>
      <c r="I104" s="117">
        <v>44501</v>
      </c>
      <c r="J104" s="38"/>
      <c r="K104" s="3"/>
      <c r="L104" s="3"/>
      <c r="M104" s="3"/>
      <c r="N104" s="3"/>
      <c r="O104" s="3"/>
      <c r="P104" s="117"/>
      <c r="Q104" s="224"/>
      <c r="R104" s="164"/>
      <c r="S104" s="60"/>
      <c r="V104" s="314" t="s">
        <v>1</v>
      </c>
      <c r="W104" s="318"/>
      <c r="X104" s="484"/>
      <c r="Y104" s="316"/>
      <c r="Z104" s="329"/>
    </row>
    <row r="105" spans="1:31" x14ac:dyDescent="0.25">
      <c r="A105" s="131">
        <v>101</v>
      </c>
      <c r="B105" s="175" t="s">
        <v>0</v>
      </c>
      <c r="C105" s="331"/>
      <c r="D105" s="331"/>
      <c r="E105" s="331"/>
      <c r="F105" s="331"/>
      <c r="G105" s="331"/>
      <c r="H105" s="113"/>
      <c r="I105" s="114"/>
      <c r="J105" s="39"/>
      <c r="K105" s="17"/>
      <c r="L105" s="17"/>
      <c r="M105" s="18"/>
      <c r="N105" s="16"/>
      <c r="O105" s="16"/>
      <c r="P105" s="111"/>
      <c r="Q105" s="225"/>
      <c r="R105" s="164"/>
      <c r="S105" s="60"/>
      <c r="V105" s="319" t="s">
        <v>0</v>
      </c>
      <c r="W105" s="320"/>
      <c r="X105" s="485"/>
      <c r="Y105" s="321">
        <f>W106-W105</f>
        <v>0</v>
      </c>
      <c r="Z105" s="330"/>
    </row>
    <row r="106" spans="1:31" x14ac:dyDescent="0.25">
      <c r="A106" s="131">
        <v>102</v>
      </c>
      <c r="B106" s="177" t="s">
        <v>1</v>
      </c>
      <c r="C106" s="331"/>
      <c r="D106" s="331"/>
      <c r="E106" s="331"/>
      <c r="F106" s="331"/>
      <c r="G106" s="331"/>
      <c r="H106" s="115"/>
      <c r="I106" s="116"/>
      <c r="J106" s="40"/>
      <c r="K106" s="16"/>
      <c r="L106" s="16"/>
      <c r="M106" s="18"/>
      <c r="N106" s="16"/>
      <c r="O106" s="16"/>
      <c r="P106" s="111"/>
      <c r="Q106" s="225"/>
      <c r="R106" s="164"/>
      <c r="S106" s="60"/>
      <c r="V106" s="314" t="s">
        <v>1</v>
      </c>
      <c r="W106" s="320"/>
      <c r="X106" s="485"/>
      <c r="Y106" s="322"/>
      <c r="Z106" s="329"/>
    </row>
    <row r="107" spans="1:31" x14ac:dyDescent="0.25">
      <c r="A107" s="131">
        <v>103</v>
      </c>
      <c r="B107" s="175" t="s">
        <v>0</v>
      </c>
      <c r="C107" s="331"/>
      <c r="D107" s="331"/>
      <c r="E107" s="331"/>
      <c r="F107" s="331"/>
      <c r="G107" s="331"/>
      <c r="H107" s="115"/>
      <c r="I107" s="116"/>
      <c r="J107" s="41"/>
      <c r="K107" s="16"/>
      <c r="L107" s="16"/>
      <c r="M107" s="18"/>
      <c r="N107" s="16"/>
      <c r="O107" s="16"/>
      <c r="P107" s="111"/>
      <c r="Q107" s="225"/>
      <c r="R107" s="164"/>
      <c r="S107" s="60"/>
      <c r="V107" s="311" t="s">
        <v>0</v>
      </c>
      <c r="W107" s="312"/>
      <c r="X107" s="488"/>
      <c r="Y107" s="313">
        <f>W108-W107</f>
        <v>0</v>
      </c>
      <c r="Z107" s="330"/>
    </row>
    <row r="108" spans="1:31" x14ac:dyDescent="0.25">
      <c r="A108" s="131">
        <v>104</v>
      </c>
      <c r="B108" s="177" t="s">
        <v>1</v>
      </c>
      <c r="C108" s="331">
        <f t="shared" ref="C108" ca="1" si="237">IF((C107-C106)&gt;$K$2,$L$2+C105+(C107-C106)-IFERROR(OFFSET($S$5,MATCH(C104,$R$6:$R$165,0),0),),$L$2+C105+$K$2-IFERROR(OFFSET($S$5,MATCH(C104,$R$6:$R$165,0),0),))</f>
        <v>0.36458333333333331</v>
      </c>
      <c r="D108" s="331">
        <f t="shared" ref="D108" ca="1" si="238">IF((D107-D106)&gt;$K$2,$L$2+D105+(D107-D106)-IFERROR(OFFSET($S$5,MATCH(D104,$R$6:$R$165,0),0),),$L$2+D105+$K$2-IFERROR(OFFSET($S$5,MATCH(D104,$R$6:$R$165,0),0),))</f>
        <v>0.36458333333333331</v>
      </c>
      <c r="E108" s="331">
        <f t="shared" ref="E108" ca="1" si="239">IF((E107-E106)&gt;$K$2,$L$2+E105+(E107-E106)-IFERROR(OFFSET($S$5,MATCH(E104,$R$6:$R$165,0),0),),$L$2+E105+$K$2-IFERROR(OFFSET($S$5,MATCH(E104,$R$6:$R$165,0),0),))</f>
        <v>0.36458333333333331</v>
      </c>
      <c r="F108" s="331">
        <f t="shared" ref="F108" ca="1" si="240">IF((F107-F106)&gt;$K$2,$L$2+F105+(F107-F106)-IFERROR(OFFSET($S$5,MATCH(F104,$R$6:$R$165,0),0),),$L$2+F105+$K$2-IFERROR(OFFSET($S$5,MATCH(F104,$R$6:$R$165,0),0),))</f>
        <v>0.36458333333333331</v>
      </c>
      <c r="G108" s="331">
        <f t="shared" ref="G108" ca="1" si="241">IF((G107-G106)&gt;$K$2,$L$2+G105+(G107-G106)-IFERROR(OFFSET($S$5,MATCH(G104,$R$6:$R$165,0),0),),$L$2+G105+$K$2-IFERROR(OFFSET($S$5,MATCH(G104,$R$6:$R$165,0),0),))</f>
        <v>0.36458333333333331</v>
      </c>
      <c r="H108" s="115"/>
      <c r="I108" s="116"/>
      <c r="J108" s="40"/>
      <c r="K108" s="16"/>
      <c r="L108" s="16"/>
      <c r="M108" s="18"/>
      <c r="N108" s="16"/>
      <c r="O108" s="16"/>
      <c r="P108" s="111"/>
      <c r="Q108" s="225"/>
      <c r="R108" s="164"/>
      <c r="S108" s="60"/>
      <c r="V108" s="314" t="s">
        <v>1</v>
      </c>
      <c r="W108" s="315"/>
      <c r="X108" s="489"/>
      <c r="Y108" s="316"/>
      <c r="Z108" s="329"/>
    </row>
    <row r="109" spans="1:31" x14ac:dyDescent="0.25">
      <c r="A109" s="131">
        <v>105</v>
      </c>
      <c r="B109" s="177" t="s">
        <v>2</v>
      </c>
      <c r="C109" s="332">
        <f t="shared" ref="C109" ca="1" si="242">IF(COUNT(C105,C106,C107)&gt;0,IF((C107-C106)&gt;$K$2,((C108-C105)-(C107-C106)),((C108-C105-$K$2))),$K$1)  + IFERROR(OFFSET($Y$5,MATCH(C104,$X$6:$X$165,0),0),$K$1) + IFERROR(OFFSET($S$5,MATCH(C104,$R$6:$R$165,0),0),)</f>
        <v>0</v>
      </c>
      <c r="D109" s="332">
        <f t="shared" ref="D109" ca="1" si="243">IF(COUNT(D105,D106,D107)&gt;0,IF((D107-D106)&gt;$K$2,((D108-D105)-(D107-D106)),((D108-D105-$K$2))),$K$1)  + IFERROR(OFFSET($Y$5,MATCH(D104,$X$6:$X$165,0),0),$K$1) + IFERROR(OFFSET($S$5,MATCH(D104,$R$6:$R$165,0),0),)</f>
        <v>0</v>
      </c>
      <c r="E109" s="332">
        <f t="shared" ref="E109" ca="1" si="244">IF(COUNT(E105,E106,E107)&gt;0,IF((E107-E106)&gt;$K$2,((E108-E105)-(E107-E106)),((E108-E105-$K$2))),$K$1)  + IFERROR(OFFSET($Y$5,MATCH(E104,$X$6:$X$165,0),0),$K$1) + IFERROR(OFFSET($S$5,MATCH(E104,$R$6:$R$165,0),0),)</f>
        <v>0</v>
      </c>
      <c r="F109" s="332">
        <f t="shared" ref="F109" ca="1" si="245">IF(COUNT(F105,F106,F107)&gt;0,IF((F107-F106)&gt;$K$2,((F108-F105)-(F107-F106)),((F108-F105-$K$2))),$K$1)  + IFERROR(OFFSET($Y$5,MATCH(F104,$X$6:$X$165,0),0),$K$1) + IFERROR(OFFSET($S$5,MATCH(F104,$R$6:$R$165,0),0),)</f>
        <v>0</v>
      </c>
      <c r="G109" s="332">
        <f t="shared" ref="G109" ca="1" si="246">IF(COUNT(G105,G106,G107)&gt;0,IF((G107-G106)&gt;$K$2,((G108-G105)-(G107-G106)),((G108-G105-$K$2))),$K$1)  + IFERROR(OFFSET($Y$5,MATCH(G104,$X$6:$X$165,0),0),$K$1) + IFERROR(OFFSET($S$5,MATCH(G104,$R$6:$R$165,0),0),)</f>
        <v>0</v>
      </c>
      <c r="H109" s="115"/>
      <c r="I109" s="116"/>
      <c r="J109" s="40"/>
      <c r="K109" s="19"/>
      <c r="L109" s="19"/>
      <c r="M109" s="20"/>
      <c r="N109" s="19"/>
      <c r="O109" s="19"/>
      <c r="P109" s="111"/>
      <c r="Q109" s="225"/>
      <c r="R109" s="164"/>
      <c r="S109" s="60"/>
      <c r="V109" s="311" t="s">
        <v>0</v>
      </c>
      <c r="W109" s="320"/>
      <c r="X109" s="485"/>
      <c r="Y109" s="321">
        <f>W110-W109</f>
        <v>0</v>
      </c>
      <c r="Z109" s="330"/>
    </row>
    <row r="110" spans="1:31" x14ac:dyDescent="0.25">
      <c r="A110" s="131">
        <v>106</v>
      </c>
      <c r="B110" s="177" t="s">
        <v>3</v>
      </c>
      <c r="C110" s="332">
        <f t="shared" ref="C110" ca="1" si="247">IFERROR(C109+OFFSET($S$5,MATCH(C104,$R$6:$R$165,0),0)-$L$2,C109-$L$2) -IFERROR(OFFSET($S$5,MATCH(C104,$R$6:$R$165,0),0),)</f>
        <v>-0.33333333333333331</v>
      </c>
      <c r="D110" s="332">
        <f t="shared" ref="D110" ca="1" si="248">IFERROR(D109+OFFSET($S$5,MATCH(D104,$R$6:$R$165,0),0)-$L$2,D109-$L$2) -IFERROR(OFFSET($S$5,MATCH(D104,$R$6:$R$165,0),0),)</f>
        <v>-0.33333333333333331</v>
      </c>
      <c r="E110" s="332">
        <f t="shared" ref="E110" ca="1" si="249">IFERROR(E109+OFFSET($S$5,MATCH(E104,$R$6:$R$165,0),0)-$L$2,E109-$L$2) -IFERROR(OFFSET($S$5,MATCH(E104,$R$6:$R$165,0),0),)</f>
        <v>-0.33333333333333331</v>
      </c>
      <c r="F110" s="332">
        <f t="shared" ref="F110" ca="1" si="250">IFERROR(F109+OFFSET($S$5,MATCH(F104,$R$6:$R$165,0),0)-$L$2,F109-$L$2) -IFERROR(OFFSET($S$5,MATCH(F104,$R$6:$R$165,0),0),)</f>
        <v>-0.33333333333333331</v>
      </c>
      <c r="G110" s="332">
        <f t="shared" ref="G110" ca="1" si="251">IFERROR(G109+OFFSET($S$5,MATCH(G104,$R$6:$R$165,0),0)-$L$2,G109-$L$2) -IFERROR(OFFSET($S$5,MATCH(G104,$R$6:$R$165,0),0),)</f>
        <v>-0.33333333333333331</v>
      </c>
      <c r="H110" s="115"/>
      <c r="I110" s="116"/>
      <c r="J110" s="40"/>
      <c r="K110" s="19"/>
      <c r="L110" s="19"/>
      <c r="M110" s="19"/>
      <c r="N110" s="19"/>
      <c r="O110" s="19"/>
      <c r="P110" s="111"/>
      <c r="Q110" s="225"/>
      <c r="R110" s="164"/>
      <c r="S110" s="60"/>
      <c r="V110" s="314" t="s">
        <v>1</v>
      </c>
      <c r="W110" s="315"/>
      <c r="X110" s="489"/>
      <c r="Y110" s="316"/>
      <c r="Z110" s="329"/>
    </row>
    <row r="111" spans="1:31" ht="15.75" thickBot="1" x14ac:dyDescent="0.3">
      <c r="A111" s="131">
        <v>107</v>
      </c>
      <c r="B111" s="177" t="s">
        <v>4</v>
      </c>
      <c r="C111" s="24">
        <f ca="1">C110+O102</f>
        <v>-6.3333333333333313</v>
      </c>
      <c r="D111" s="24">
        <f ca="1">C111+D110</f>
        <v>-6.6666666666666643</v>
      </c>
      <c r="E111" s="24">
        <f t="shared" ref="E111:G111" ca="1" si="252">D111+E110</f>
        <v>-6.9999999999999973</v>
      </c>
      <c r="F111" s="24">
        <f t="shared" ca="1" si="252"/>
        <v>-7.3333333333333304</v>
      </c>
      <c r="G111" s="24">
        <f t="shared" ca="1" si="252"/>
        <v>-7.6666666666666634</v>
      </c>
      <c r="H111" s="115"/>
      <c r="I111" s="116"/>
      <c r="J111" s="202"/>
      <c r="K111" s="186"/>
      <c r="L111" s="190"/>
      <c r="M111" s="190"/>
      <c r="N111" s="190"/>
      <c r="O111" s="186"/>
      <c r="P111" s="236"/>
      <c r="Q111" s="237"/>
      <c r="R111" s="165"/>
      <c r="S111" s="62"/>
    </row>
    <row r="112" spans="1:31" ht="16.5" thickTop="1" thickBot="1" x14ac:dyDescent="0.3">
      <c r="A112" s="131">
        <v>108</v>
      </c>
      <c r="B112" s="348" t="s">
        <v>34</v>
      </c>
      <c r="C112" s="73"/>
      <c r="D112" s="73"/>
      <c r="E112" s="73"/>
      <c r="F112" s="73"/>
      <c r="G112" s="73"/>
      <c r="H112" s="349" t="s">
        <v>6</v>
      </c>
      <c r="I112" s="350" t="s">
        <v>30</v>
      </c>
      <c r="J112" s="171"/>
      <c r="K112" s="288" t="s">
        <v>31</v>
      </c>
      <c r="L112" s="238" t="s">
        <v>25</v>
      </c>
      <c r="M112" s="168" t="s">
        <v>26</v>
      </c>
      <c r="N112" s="168" t="s">
        <v>27</v>
      </c>
      <c r="O112" s="168" t="s">
        <v>28</v>
      </c>
      <c r="P112" s="239" t="s">
        <v>29</v>
      </c>
      <c r="Q112" s="289" t="s">
        <v>30</v>
      </c>
      <c r="R112" s="478" t="s">
        <v>16</v>
      </c>
      <c r="S112" s="479"/>
      <c r="T112" s="470" t="s">
        <v>17</v>
      </c>
      <c r="U112" s="471"/>
      <c r="V112" s="480" t="s">
        <v>117</v>
      </c>
      <c r="W112" s="481"/>
      <c r="X112" s="481"/>
      <c r="Y112" s="482"/>
      <c r="Z112" s="328"/>
      <c r="AA112" s="450" t="s">
        <v>36</v>
      </c>
      <c r="AB112" s="451"/>
      <c r="AC112" s="451"/>
      <c r="AD112" s="451"/>
      <c r="AE112" s="452"/>
    </row>
    <row r="113" spans="1:31" ht="15.75" thickBot="1" x14ac:dyDescent="0.3">
      <c r="A113" s="131">
        <v>109</v>
      </c>
      <c r="B113" s="351" t="s">
        <v>5</v>
      </c>
      <c r="C113" s="3"/>
      <c r="D113" s="3"/>
      <c r="E113" s="3"/>
      <c r="F113" s="3"/>
      <c r="G113" s="3"/>
      <c r="H113" s="352">
        <v>44500</v>
      </c>
      <c r="I113" s="121">
        <v>44501</v>
      </c>
      <c r="J113" s="70"/>
      <c r="K113" s="122">
        <v>44502</v>
      </c>
      <c r="L113" s="122">
        <v>44503</v>
      </c>
      <c r="M113" s="67">
        <v>44504</v>
      </c>
      <c r="N113" s="67">
        <v>44505</v>
      </c>
      <c r="O113" s="67">
        <v>44506</v>
      </c>
      <c r="P113" s="127">
        <v>44507</v>
      </c>
      <c r="Q113" s="231">
        <v>44508</v>
      </c>
      <c r="R113" s="162" t="s">
        <v>14</v>
      </c>
      <c r="S113" s="58" t="s">
        <v>15</v>
      </c>
      <c r="T113" s="64" t="s">
        <v>23</v>
      </c>
      <c r="U113" s="65" t="s">
        <v>18</v>
      </c>
      <c r="V113" s="308"/>
      <c r="W113" s="309" t="s">
        <v>15</v>
      </c>
      <c r="X113" s="310" t="s">
        <v>14</v>
      </c>
      <c r="Y113" s="310" t="s">
        <v>118</v>
      </c>
      <c r="Z113" s="329"/>
      <c r="AA113" s="453"/>
      <c r="AB113" s="454"/>
      <c r="AC113" s="454"/>
      <c r="AD113" s="454"/>
      <c r="AE113" s="455"/>
    </row>
    <row r="114" spans="1:31" x14ac:dyDescent="0.25">
      <c r="A114" s="131">
        <v>110</v>
      </c>
      <c r="B114" s="356" t="s">
        <v>0</v>
      </c>
      <c r="C114" s="17"/>
      <c r="D114" s="17"/>
      <c r="E114" s="31"/>
      <c r="F114" s="31"/>
      <c r="G114" s="31"/>
      <c r="H114" s="357"/>
      <c r="I114" s="358"/>
      <c r="J114" s="132" t="s">
        <v>0</v>
      </c>
      <c r="K114" s="472" t="s">
        <v>7</v>
      </c>
      <c r="L114" s="473"/>
      <c r="M114" s="331"/>
      <c r="N114" s="331"/>
      <c r="O114" s="331"/>
      <c r="P114" s="125"/>
      <c r="Q114" s="232"/>
      <c r="R114" s="163"/>
      <c r="S114" s="59"/>
      <c r="V114" s="311" t="s">
        <v>0</v>
      </c>
      <c r="W114" s="312"/>
      <c r="X114" s="483"/>
      <c r="Y114" s="313">
        <f>W115-W114</f>
        <v>0</v>
      </c>
      <c r="Z114" s="330"/>
      <c r="AA114" s="281" t="s">
        <v>89</v>
      </c>
      <c r="AB114" s="275" t="s">
        <v>75</v>
      </c>
      <c r="AC114" s="275" t="s">
        <v>47</v>
      </c>
      <c r="AD114" s="275" t="s">
        <v>76</v>
      </c>
      <c r="AE114" s="276" t="s">
        <v>56</v>
      </c>
    </row>
    <row r="115" spans="1:31" x14ac:dyDescent="0.25">
      <c r="A115" s="131">
        <v>111</v>
      </c>
      <c r="B115" s="133" t="s">
        <v>1</v>
      </c>
      <c r="C115" s="16"/>
      <c r="D115" s="16"/>
      <c r="E115" s="28"/>
      <c r="F115" s="28"/>
      <c r="G115" s="28"/>
      <c r="H115" s="334"/>
      <c r="I115" s="359"/>
      <c r="J115" s="133" t="s">
        <v>1</v>
      </c>
      <c r="K115" s="474"/>
      <c r="L115" s="475"/>
      <c r="M115" s="331"/>
      <c r="N115" s="331"/>
      <c r="O115" s="331"/>
      <c r="P115" s="125"/>
      <c r="Q115" s="232"/>
      <c r="R115" s="163"/>
      <c r="S115" s="59"/>
      <c r="V115" s="314" t="s">
        <v>1</v>
      </c>
      <c r="W115" s="315"/>
      <c r="X115" s="484"/>
      <c r="Y115" s="316"/>
      <c r="Z115" s="329"/>
      <c r="AA115" s="282" t="s">
        <v>90</v>
      </c>
      <c r="AB115" s="273" t="s">
        <v>74</v>
      </c>
      <c r="AC115" s="272" t="s">
        <v>77</v>
      </c>
      <c r="AD115" s="272" t="s">
        <v>78</v>
      </c>
      <c r="AE115" s="277" t="s">
        <v>48</v>
      </c>
    </row>
    <row r="116" spans="1:31" x14ac:dyDescent="0.25">
      <c r="A116" s="131">
        <v>112</v>
      </c>
      <c r="B116" s="132" t="s">
        <v>0</v>
      </c>
      <c r="C116" s="16"/>
      <c r="D116" s="16"/>
      <c r="E116" s="28"/>
      <c r="F116" s="28"/>
      <c r="G116" s="28"/>
      <c r="H116" s="334"/>
      <c r="I116" s="359"/>
      <c r="J116" s="132" t="s">
        <v>0</v>
      </c>
      <c r="K116" s="474"/>
      <c r="L116" s="475"/>
      <c r="M116" s="331"/>
      <c r="N116" s="331"/>
      <c r="O116" s="331"/>
      <c r="P116" s="125"/>
      <c r="Q116" s="232"/>
      <c r="R116" s="163"/>
      <c r="S116" s="59"/>
      <c r="V116" s="311" t="s">
        <v>0</v>
      </c>
      <c r="W116" s="317"/>
      <c r="X116" s="483"/>
      <c r="Y116" s="313">
        <f>W117-W116</f>
        <v>0</v>
      </c>
      <c r="Z116" s="330"/>
      <c r="AA116" s="282" t="s">
        <v>91</v>
      </c>
      <c r="AB116" s="272" t="s">
        <v>79</v>
      </c>
      <c r="AC116" s="272" t="s">
        <v>80</v>
      </c>
      <c r="AD116" s="272" t="s">
        <v>81</v>
      </c>
      <c r="AE116" s="277" t="s">
        <v>48</v>
      </c>
    </row>
    <row r="117" spans="1:31" x14ac:dyDescent="0.25">
      <c r="A117" s="131">
        <v>113</v>
      </c>
      <c r="B117" s="133" t="s">
        <v>1</v>
      </c>
      <c r="C117" s="16"/>
      <c r="D117" s="28"/>
      <c r="E117" s="28"/>
      <c r="F117" s="28"/>
      <c r="G117" s="28"/>
      <c r="H117" s="334">
        <f ca="1">IF((H116-H115)&gt;$K$2,$L$1+H114+(H116-H115)-IFERROR(OFFSET($S$5,MATCH(H113,$R$6:$R$165,0),0),),$L$1+H114+$K$2-IFERROR(OFFSET($S$5,MATCH(H113,$R$6:$R$165,0),0),))</f>
        <v>0.32291666666666669</v>
      </c>
      <c r="I117" s="359"/>
      <c r="J117" s="133" t="s">
        <v>1</v>
      </c>
      <c r="K117" s="474"/>
      <c r="L117" s="475"/>
      <c r="M117" s="331">
        <f t="shared" ref="M117" ca="1" si="253">IF((M116-M115)&gt;$K$2,$L$2+M114+(M116-M115)-IFERROR(OFFSET($S$5,MATCH(M113,$R$6:$R$165,0),0),),$L$2+M114+$K$2-IFERROR(OFFSET($S$5,MATCH(M113,$R$6:$R$165,0),0),))</f>
        <v>0.36458333333333331</v>
      </c>
      <c r="N117" s="331">
        <f t="shared" ref="N117" ca="1" si="254">IF((N116-N115)&gt;$K$2,$L$2+N114+(N116-N115)-IFERROR(OFFSET($S$5,MATCH(N113,$R$6:$R$165,0),0),),$L$2+N114+$K$2-IFERROR(OFFSET($S$5,MATCH(N113,$R$6:$R$165,0),0),))</f>
        <v>0.36458333333333331</v>
      </c>
      <c r="O117" s="331">
        <f t="shared" ref="O117" ca="1" si="255">IF((O116-O115)&gt;$K$2,$L$2+O114+(O116-O115)-IFERROR(OFFSET($S$5,MATCH(O113,$R$6:$R$165,0),0),),$L$2+O114+$K$2-IFERROR(OFFSET($S$5,MATCH(O113,$R$6:$R$165,0),0),))</f>
        <v>0.36458333333333331</v>
      </c>
      <c r="P117" s="125"/>
      <c r="Q117" s="232"/>
      <c r="R117" s="163"/>
      <c r="S117" s="59"/>
      <c r="V117" s="314" t="s">
        <v>1</v>
      </c>
      <c r="W117" s="318"/>
      <c r="X117" s="484"/>
      <c r="Y117" s="316"/>
      <c r="Z117" s="329"/>
      <c r="AA117" s="283" t="s">
        <v>92</v>
      </c>
      <c r="AB117" s="274" t="s">
        <v>82</v>
      </c>
      <c r="AC117" s="274" t="s">
        <v>83</v>
      </c>
      <c r="AD117" s="274" t="s">
        <v>84</v>
      </c>
      <c r="AE117" s="278">
        <v>201</v>
      </c>
    </row>
    <row r="118" spans="1:31" ht="15.75" thickBot="1" x14ac:dyDescent="0.3">
      <c r="A118" s="131">
        <v>114</v>
      </c>
      <c r="B118" s="133" t="s">
        <v>2</v>
      </c>
      <c r="C118" s="19"/>
      <c r="D118" s="19"/>
      <c r="E118" s="19"/>
      <c r="F118" s="19"/>
      <c r="G118" s="19"/>
      <c r="H118" s="334">
        <f ca="1">IF(COUNT(H114,H115,H116)&gt;0,IF((H116-H115)&gt;$K$2,((H117-H114)-(H116-H115)),((H117-H114-$K$2))),$K$1)  + IFERROR(OFFSET($Y$5,MATCH(H113,$X$6:$X$165,0),0),$K$1) + IFERROR(OFFSET($S$5,MATCH(H113,$R$6:$R$165,0),0),)</f>
        <v>0</v>
      </c>
      <c r="I118" s="359"/>
      <c r="J118" s="133" t="s">
        <v>2</v>
      </c>
      <c r="K118" s="474"/>
      <c r="L118" s="475"/>
      <c r="M118" s="332">
        <f t="shared" ref="M118" ca="1" si="256">IF(COUNT(M114,M115,M116)&gt;0,IF((M116-M115)&gt;$K$2,((M117-M114)-(M116-M115)),((M117-M114-$K$2))),$K$1)  + IFERROR(OFFSET($Y$5,MATCH(M113,$X$6:$X$165,0),0),$K$1) + IFERROR(OFFSET($S$5,MATCH(M113,$R$6:$R$165,0),0),)</f>
        <v>0</v>
      </c>
      <c r="N118" s="332">
        <f t="shared" ref="N118" ca="1" si="257">IF(COUNT(N114,N115,N116)&gt;0,IF((N116-N115)&gt;$K$2,((N117-N114)-(N116-N115)),((N117-N114-$K$2))),$K$1)  + IFERROR(OFFSET($Y$5,MATCH(N113,$X$6:$X$165,0),0),$K$1) + IFERROR(OFFSET($S$5,MATCH(N113,$R$6:$R$165,0),0),)</f>
        <v>0</v>
      </c>
      <c r="O118" s="332">
        <f t="shared" ref="O118" ca="1" si="258">IF(COUNT(O114,O115,O116)&gt;0,IF((O116-O115)&gt;$K$2,((O117-O114)-(O116-O115)),((O117-O114-$K$2))),$K$1)  + IFERROR(OFFSET($Y$5,MATCH(O113,$X$6:$X$165,0),0),$K$1) + IFERROR(OFFSET($S$5,MATCH(O113,$R$6:$R$165,0),0),)</f>
        <v>0</v>
      </c>
      <c r="P118" s="125"/>
      <c r="Q118" s="232"/>
      <c r="R118" s="163"/>
      <c r="S118" s="59"/>
      <c r="V118" s="311" t="s">
        <v>0</v>
      </c>
      <c r="W118" s="317"/>
      <c r="X118" s="483"/>
      <c r="Y118" s="313">
        <f>W119-W118</f>
        <v>0</v>
      </c>
      <c r="Z118" s="330"/>
      <c r="AA118" s="284" t="s">
        <v>93</v>
      </c>
      <c r="AB118" s="279" t="s">
        <v>85</v>
      </c>
      <c r="AC118" s="279" t="s">
        <v>86</v>
      </c>
      <c r="AD118" s="279" t="s">
        <v>87</v>
      </c>
      <c r="AE118" s="280" t="s">
        <v>88</v>
      </c>
    </row>
    <row r="119" spans="1:31" x14ac:dyDescent="0.25">
      <c r="A119" s="131">
        <v>115</v>
      </c>
      <c r="B119" s="133" t="s">
        <v>3</v>
      </c>
      <c r="C119" s="19"/>
      <c r="D119" s="19"/>
      <c r="E119" s="19"/>
      <c r="F119" s="19"/>
      <c r="G119" s="19"/>
      <c r="H119" s="432">
        <f ca="1">IFERROR(H118+OFFSET($S$5,MATCH(H113,$R$6:$R$165,0),0)-$L$1,H118-$L$1) -IFERROR(OFFSET($S$5,MATCH(H113,$R$6:$R$165,0),0),)</f>
        <v>-0.29166666666666669</v>
      </c>
      <c r="I119" s="359"/>
      <c r="J119" s="133" t="s">
        <v>3</v>
      </c>
      <c r="K119" s="474"/>
      <c r="L119" s="475"/>
      <c r="M119" s="332">
        <f t="shared" ref="M119" ca="1" si="259">IFERROR(M118+OFFSET($S$5,MATCH(M113,$R$6:$R$165,0),0)-$L$2,M118-$L$2) -IFERROR(OFFSET($S$5,MATCH(M113,$R$6:$R$165,0),0),)</f>
        <v>-0.33333333333333331</v>
      </c>
      <c r="N119" s="332">
        <f t="shared" ref="N119" ca="1" si="260">IFERROR(N118+OFFSET($S$5,MATCH(N113,$R$6:$R$165,0),0)-$L$2,N118-$L$2) -IFERROR(OFFSET($S$5,MATCH(N113,$R$6:$R$165,0),0),)</f>
        <v>-0.33333333333333331</v>
      </c>
      <c r="O119" s="332">
        <f t="shared" ref="O119" ca="1" si="261">IFERROR(O118+OFFSET($S$5,MATCH(O113,$R$6:$R$165,0),0)-$L$2,O118-$L$2) -IFERROR(OFFSET($S$5,MATCH(O113,$R$6:$R$165,0),0),)</f>
        <v>-0.33333333333333331</v>
      </c>
      <c r="P119" s="125"/>
      <c r="Q119" s="232"/>
      <c r="R119" s="163"/>
      <c r="S119" s="59"/>
      <c r="V119" s="314" t="s">
        <v>1</v>
      </c>
      <c r="W119" s="318"/>
      <c r="X119" s="484"/>
      <c r="Y119" s="316"/>
      <c r="Z119" s="329"/>
    </row>
    <row r="120" spans="1:31" ht="15.75" thickBot="1" x14ac:dyDescent="0.3">
      <c r="A120" s="131">
        <v>116</v>
      </c>
      <c r="B120" s="360" t="s">
        <v>4</v>
      </c>
      <c r="C120" s="21"/>
      <c r="D120" s="21"/>
      <c r="E120" s="21"/>
      <c r="F120" s="21"/>
      <c r="G120" s="21"/>
      <c r="H120" s="361">
        <f ca="1">H119</f>
        <v>-0.29166666666666669</v>
      </c>
      <c r="I120" s="362"/>
      <c r="J120" s="133" t="s">
        <v>4</v>
      </c>
      <c r="K120" s="476"/>
      <c r="L120" s="477"/>
      <c r="M120" s="22">
        <f ca="1">H120+M119</f>
        <v>-0.625</v>
      </c>
      <c r="N120" s="22">
        <f t="shared" ref="N120" ca="1" si="262">M120+N119</f>
        <v>-0.95833333333333326</v>
      </c>
      <c r="O120" s="22">
        <f t="shared" ref="O120" ca="1" si="263">N120+O119</f>
        <v>-1.2916666666666665</v>
      </c>
      <c r="P120" s="125"/>
      <c r="Q120" s="232"/>
      <c r="R120" s="163"/>
      <c r="S120" s="59"/>
      <c r="V120" s="319" t="s">
        <v>0</v>
      </c>
      <c r="W120" s="320"/>
      <c r="X120" s="485"/>
      <c r="Y120" s="321">
        <f>W121-W120</f>
        <v>0</v>
      </c>
      <c r="Z120" s="330"/>
    </row>
    <row r="121" spans="1:31" x14ac:dyDescent="0.25">
      <c r="A121" s="131">
        <v>117</v>
      </c>
      <c r="B121" s="353" t="s">
        <v>34</v>
      </c>
      <c r="C121" s="354" t="s">
        <v>31</v>
      </c>
      <c r="D121" s="354" t="s">
        <v>25</v>
      </c>
      <c r="E121" s="354" t="s">
        <v>26</v>
      </c>
      <c r="F121" s="354" t="s">
        <v>27</v>
      </c>
      <c r="G121" s="354" t="s">
        <v>28</v>
      </c>
      <c r="H121" s="307" t="s">
        <v>29</v>
      </c>
      <c r="I121" s="355" t="s">
        <v>30</v>
      </c>
      <c r="J121" s="68"/>
      <c r="K121" s="66" t="s">
        <v>31</v>
      </c>
      <c r="L121" s="66" t="s">
        <v>25</v>
      </c>
      <c r="M121" s="66" t="s">
        <v>26</v>
      </c>
      <c r="N121" s="258" t="s">
        <v>27</v>
      </c>
      <c r="O121" s="66" t="s">
        <v>28</v>
      </c>
      <c r="P121" s="290" t="s">
        <v>29</v>
      </c>
      <c r="Q121" s="229" t="s">
        <v>30</v>
      </c>
      <c r="R121" s="163"/>
      <c r="S121" s="59"/>
      <c r="V121" s="314" t="s">
        <v>1</v>
      </c>
      <c r="W121" s="320"/>
      <c r="X121" s="485"/>
      <c r="Y121" s="322"/>
      <c r="Z121" s="329"/>
    </row>
    <row r="122" spans="1:31" ht="15.75" thickBot="1" x14ac:dyDescent="0.3">
      <c r="A122" s="131">
        <v>118</v>
      </c>
      <c r="B122" s="230" t="s">
        <v>5</v>
      </c>
      <c r="C122" s="67">
        <v>44509</v>
      </c>
      <c r="D122" s="67">
        <v>44510</v>
      </c>
      <c r="E122" s="67">
        <v>44511</v>
      </c>
      <c r="F122" s="67">
        <v>44512</v>
      </c>
      <c r="G122" s="67">
        <v>44513</v>
      </c>
      <c r="H122" s="127">
        <v>44514</v>
      </c>
      <c r="I122" s="127">
        <v>44515</v>
      </c>
      <c r="J122" s="70"/>
      <c r="K122" s="67">
        <v>44516</v>
      </c>
      <c r="L122" s="67">
        <v>44517</v>
      </c>
      <c r="M122" s="67">
        <v>44518</v>
      </c>
      <c r="N122" s="67">
        <v>44519</v>
      </c>
      <c r="O122" s="67">
        <v>44520</v>
      </c>
      <c r="P122" s="127">
        <v>44521</v>
      </c>
      <c r="Q122" s="231">
        <v>44522</v>
      </c>
      <c r="R122" s="163"/>
      <c r="S122" s="59"/>
      <c r="V122" s="311" t="s">
        <v>0</v>
      </c>
      <c r="W122" s="312"/>
      <c r="X122" s="488"/>
      <c r="Y122" s="313">
        <f>W123-W122</f>
        <v>0</v>
      </c>
      <c r="Z122" s="330"/>
    </row>
    <row r="123" spans="1:31" x14ac:dyDescent="0.25">
      <c r="A123" s="131">
        <v>119</v>
      </c>
      <c r="B123" s="175" t="s">
        <v>0</v>
      </c>
      <c r="C123" s="331"/>
      <c r="D123" s="331"/>
      <c r="E123" s="331"/>
      <c r="F123" s="331"/>
      <c r="G123" s="331"/>
      <c r="H123" s="125"/>
      <c r="I123" s="125"/>
      <c r="J123" s="132" t="s">
        <v>0</v>
      </c>
      <c r="K123" s="331"/>
      <c r="L123" s="331"/>
      <c r="M123" s="331"/>
      <c r="N123" s="331"/>
      <c r="O123" s="331"/>
      <c r="P123" s="125"/>
      <c r="Q123" s="232"/>
      <c r="R123" s="163"/>
      <c r="S123" s="59"/>
      <c r="V123" s="314" t="s">
        <v>1</v>
      </c>
      <c r="W123" s="315"/>
      <c r="X123" s="489"/>
      <c r="Y123" s="316"/>
      <c r="Z123" s="329"/>
    </row>
    <row r="124" spans="1:31" x14ac:dyDescent="0.25">
      <c r="A124" s="131">
        <v>120</v>
      </c>
      <c r="B124" s="177" t="s">
        <v>1</v>
      </c>
      <c r="C124" s="331"/>
      <c r="D124" s="331"/>
      <c r="E124" s="331"/>
      <c r="F124" s="331"/>
      <c r="G124" s="331"/>
      <c r="H124" s="125"/>
      <c r="I124" s="125"/>
      <c r="J124" s="133" t="s">
        <v>1</v>
      </c>
      <c r="K124" s="331"/>
      <c r="L124" s="331"/>
      <c r="M124" s="331"/>
      <c r="N124" s="331"/>
      <c r="O124" s="331"/>
      <c r="P124" s="125"/>
      <c r="Q124" s="232"/>
      <c r="R124" s="164"/>
      <c r="S124" s="60"/>
      <c r="V124" s="311" t="s">
        <v>0</v>
      </c>
      <c r="W124" s="320"/>
      <c r="X124" s="485"/>
      <c r="Y124" s="321">
        <f>W125-W124</f>
        <v>0</v>
      </c>
      <c r="Z124" s="330"/>
    </row>
    <row r="125" spans="1:31" x14ac:dyDescent="0.25">
      <c r="A125" s="131">
        <v>121</v>
      </c>
      <c r="B125" s="175" t="s">
        <v>0</v>
      </c>
      <c r="C125" s="331"/>
      <c r="D125" s="331"/>
      <c r="E125" s="331"/>
      <c r="F125" s="331"/>
      <c r="G125" s="331"/>
      <c r="H125" s="125"/>
      <c r="I125" s="125"/>
      <c r="J125" s="132" t="s">
        <v>0</v>
      </c>
      <c r="K125" s="331"/>
      <c r="L125" s="331"/>
      <c r="M125" s="331"/>
      <c r="N125" s="331"/>
      <c r="O125" s="331"/>
      <c r="P125" s="125"/>
      <c r="Q125" s="232"/>
      <c r="R125" s="164"/>
      <c r="S125" s="60"/>
      <c r="V125" s="314" t="s">
        <v>1</v>
      </c>
      <c r="W125" s="315"/>
      <c r="X125" s="489"/>
      <c r="Y125" s="316"/>
      <c r="Z125" s="329"/>
    </row>
    <row r="126" spans="1:31" x14ac:dyDescent="0.25">
      <c r="A126" s="131">
        <v>122</v>
      </c>
      <c r="B126" s="177" t="s">
        <v>1</v>
      </c>
      <c r="C126" s="331">
        <f t="shared" ref="C126" ca="1" si="264">IF((C125-C124)&gt;$K$2,$L$2+C123+(C125-C124)-IFERROR(OFFSET($S$5,MATCH(C122,$R$6:$R$165,0),0),),$L$2+C123+$K$2-IFERROR(OFFSET($S$5,MATCH(C122,$R$6:$R$165,0),0),))</f>
        <v>0.36458333333333331</v>
      </c>
      <c r="D126" s="331">
        <f t="shared" ref="D126" ca="1" si="265">IF((D125-D124)&gt;$K$2,$L$2+D123+(D125-D124)-IFERROR(OFFSET($S$5,MATCH(D122,$R$6:$R$165,0),0),),$L$2+D123+$K$2-IFERROR(OFFSET($S$5,MATCH(D122,$R$6:$R$165,0),0),))</f>
        <v>0.36458333333333331</v>
      </c>
      <c r="E126" s="331">
        <f t="shared" ref="E126" ca="1" si="266">IF((E125-E124)&gt;$K$2,$L$2+E123+(E125-E124)-IFERROR(OFFSET($S$5,MATCH(E122,$R$6:$R$165,0),0),),$L$2+E123+$K$2-IFERROR(OFFSET($S$5,MATCH(E122,$R$6:$R$165,0),0),))</f>
        <v>0.36458333333333331</v>
      </c>
      <c r="F126" s="331">
        <f t="shared" ref="F126" ca="1" si="267">IF((F125-F124)&gt;$K$2,$L$2+F123+(F125-F124)-IFERROR(OFFSET($S$5,MATCH(F122,$R$6:$R$165,0),0),),$L$2+F123+$K$2-IFERROR(OFFSET($S$5,MATCH(F122,$R$6:$R$165,0),0),))</f>
        <v>0.36458333333333331</v>
      </c>
      <c r="G126" s="331">
        <f t="shared" ref="G126" ca="1" si="268">IF((G125-G124)&gt;$K$2,$L$2+G123+(G125-G124)-IFERROR(OFFSET($S$5,MATCH(G122,$R$6:$R$165,0),0),),$L$2+G123+$K$2-IFERROR(OFFSET($S$5,MATCH(G122,$R$6:$R$165,0),0),))</f>
        <v>0.36458333333333331</v>
      </c>
      <c r="H126" s="125"/>
      <c r="I126" s="125"/>
      <c r="J126" s="133" t="s">
        <v>1</v>
      </c>
      <c r="K126" s="331">
        <f t="shared" ref="K126" ca="1" si="269">IF((K125-K124)&gt;$K$2,$L$2+K123+(K125-K124)-IFERROR(OFFSET($S$5,MATCH(K122,$R$6:$R$165,0),0),),$L$2+K123+$K$2-IFERROR(OFFSET($S$5,MATCH(K122,$R$6:$R$165,0),0),))</f>
        <v>0.36458333333333331</v>
      </c>
      <c r="L126" s="331">
        <f t="shared" ref="L126" ca="1" si="270">IF((L125-L124)&gt;$K$2,$L$2+L123+(L125-L124)-IFERROR(OFFSET($S$5,MATCH(L122,$R$6:$R$165,0),0),),$L$2+L123+$K$2-IFERROR(OFFSET($S$5,MATCH(L122,$R$6:$R$165,0),0),))</f>
        <v>0.36458333333333331</v>
      </c>
      <c r="M126" s="331">
        <f t="shared" ref="M126" ca="1" si="271">IF((M125-M124)&gt;$K$2,$L$2+M123+(M125-M124)-IFERROR(OFFSET($S$5,MATCH(M122,$R$6:$R$165,0),0),),$L$2+M123+$K$2-IFERROR(OFFSET($S$5,MATCH(M122,$R$6:$R$165,0),0),))</f>
        <v>0.36458333333333331</v>
      </c>
      <c r="N126" s="331">
        <f t="shared" ref="N126" ca="1" si="272">IF((N125-N124)&gt;$K$2,$L$2+N123+(N125-N124)-IFERROR(OFFSET($S$5,MATCH(N122,$R$6:$R$165,0),0),),$L$2+N123+$K$2-IFERROR(OFFSET($S$5,MATCH(N122,$R$6:$R$165,0),0),))</f>
        <v>0.36458333333333331</v>
      </c>
      <c r="O126" s="331">
        <f t="shared" ref="O126" ca="1" si="273">IF((O125-O124)&gt;$K$2,$L$2+O123+(O125-O124)-IFERROR(OFFSET($S$5,MATCH(O122,$R$6:$R$165,0),0),),$L$2+O123+$K$2-IFERROR(OFFSET($S$5,MATCH(O122,$R$6:$R$165,0),0),))</f>
        <v>0.36458333333333331</v>
      </c>
      <c r="P126" s="125"/>
      <c r="Q126" s="232"/>
      <c r="R126" s="164"/>
      <c r="S126" s="61"/>
      <c r="V126" s="311" t="s">
        <v>0</v>
      </c>
      <c r="W126" s="312"/>
      <c r="X126" s="483"/>
      <c r="Y126" s="313">
        <f>W127-W126</f>
        <v>0</v>
      </c>
      <c r="Z126" s="330"/>
    </row>
    <row r="127" spans="1:31" x14ac:dyDescent="0.25">
      <c r="A127" s="131">
        <v>123</v>
      </c>
      <c r="B127" s="177" t="s">
        <v>2</v>
      </c>
      <c r="C127" s="332">
        <f t="shared" ref="C127" ca="1" si="274">IF(COUNT(C123,C124,C125)&gt;0,IF((C125-C124)&gt;$K$2,((C126-C123)-(C125-C124)),((C126-C123-$K$2))),$K$1)  + IFERROR(OFFSET($Y$5,MATCH(C122,$X$6:$X$165,0),0),$K$1) + IFERROR(OFFSET($S$5,MATCH(C122,$R$6:$R$165,0),0),)</f>
        <v>0</v>
      </c>
      <c r="D127" s="332">
        <f t="shared" ref="D127" ca="1" si="275">IF(COUNT(D123,D124,D125)&gt;0,IF((D125-D124)&gt;$K$2,((D126-D123)-(D125-D124)),((D126-D123-$K$2))),$K$1)  + IFERROR(OFFSET($Y$5,MATCH(D122,$X$6:$X$165,0),0),$K$1) + IFERROR(OFFSET($S$5,MATCH(D122,$R$6:$R$165,0),0),)</f>
        <v>0</v>
      </c>
      <c r="E127" s="332">
        <f t="shared" ref="E127" ca="1" si="276">IF(COUNT(E123,E124,E125)&gt;0,IF((E125-E124)&gt;$K$2,((E126-E123)-(E125-E124)),((E126-E123-$K$2))),$K$1)  + IFERROR(OFFSET($Y$5,MATCH(E122,$X$6:$X$165,0),0),$K$1) + IFERROR(OFFSET($S$5,MATCH(E122,$R$6:$R$165,0),0),)</f>
        <v>0</v>
      </c>
      <c r="F127" s="332">
        <f t="shared" ref="F127" ca="1" si="277">IF(COUNT(F123,F124,F125)&gt;0,IF((F125-F124)&gt;$K$2,((F126-F123)-(F125-F124)),((F126-F123-$K$2))),$K$1)  + IFERROR(OFFSET($Y$5,MATCH(F122,$X$6:$X$165,0),0),$K$1) + IFERROR(OFFSET($S$5,MATCH(F122,$R$6:$R$165,0),0),)</f>
        <v>0</v>
      </c>
      <c r="G127" s="332">
        <f t="shared" ref="G127" ca="1" si="278">IF(COUNT(G123,G124,G125)&gt;0,IF((G125-G124)&gt;$K$2,((G126-G123)-(G125-G124)),((G126-G123-$K$2))),$K$1)  + IFERROR(OFFSET($Y$5,MATCH(G122,$X$6:$X$165,0),0),$K$1) + IFERROR(OFFSET($S$5,MATCH(G122,$R$6:$R$165,0),0),)</f>
        <v>0</v>
      </c>
      <c r="H127" s="125"/>
      <c r="I127" s="125"/>
      <c r="J127" s="133" t="s">
        <v>2</v>
      </c>
      <c r="K127" s="332">
        <f t="shared" ref="K127" ca="1" si="279">IF(COUNT(K123,K124,K125)&gt;0,IF((K125-K124)&gt;$K$2,((K126-K123)-(K125-K124)),((K126-K123-$K$2))),$K$1)  + IFERROR(OFFSET($Y$5,MATCH(K122,$X$6:$X$165,0),0),$K$1) + IFERROR(OFFSET($S$5,MATCH(K122,$R$6:$R$165,0),0),)</f>
        <v>0</v>
      </c>
      <c r="L127" s="332">
        <f t="shared" ref="L127" ca="1" si="280">IF(COUNT(L123,L124,L125)&gt;0,IF((L125-L124)&gt;$K$2,((L126-L123)-(L125-L124)),((L126-L123-$K$2))),$K$1)  + IFERROR(OFFSET($Y$5,MATCH(L122,$X$6:$X$165,0),0),$K$1) + IFERROR(OFFSET($S$5,MATCH(L122,$R$6:$R$165,0),0),)</f>
        <v>0</v>
      </c>
      <c r="M127" s="332">
        <f t="shared" ref="M127" ca="1" si="281">IF(COUNT(M123,M124,M125)&gt;0,IF((M125-M124)&gt;$K$2,((M126-M123)-(M125-M124)),((M126-M123-$K$2))),$K$1)  + IFERROR(OFFSET($Y$5,MATCH(M122,$X$6:$X$165,0),0),$K$1) + IFERROR(OFFSET($S$5,MATCH(M122,$R$6:$R$165,0),0),)</f>
        <v>0</v>
      </c>
      <c r="N127" s="332">
        <f t="shared" ref="N127" ca="1" si="282">IF(COUNT(N123,N124,N125)&gt;0,IF((N125-N124)&gt;$K$2,((N126-N123)-(N125-N124)),((N126-N123-$K$2))),$K$1)  + IFERROR(OFFSET($Y$5,MATCH(N122,$X$6:$X$165,0),0),$K$1) + IFERROR(OFFSET($S$5,MATCH(N122,$R$6:$R$165,0),0),)</f>
        <v>0</v>
      </c>
      <c r="O127" s="332">
        <f t="shared" ref="O127" ca="1" si="283">IF(COUNT(O123,O124,O125)&gt;0,IF((O125-O124)&gt;$K$2,((O126-O123)-(O125-O124)),((O126-O123-$K$2))),$K$1)  + IFERROR(OFFSET($Y$5,MATCH(O122,$X$6:$X$165,0),0),$K$1) + IFERROR(OFFSET($S$5,MATCH(O122,$R$6:$R$165,0),0),)</f>
        <v>0</v>
      </c>
      <c r="P127" s="125"/>
      <c r="Q127" s="232"/>
      <c r="R127" s="164"/>
      <c r="S127" s="60"/>
      <c r="V127" s="314" t="s">
        <v>1</v>
      </c>
      <c r="W127" s="315"/>
      <c r="X127" s="484"/>
      <c r="Y127" s="316"/>
      <c r="Z127" s="329"/>
    </row>
    <row r="128" spans="1:31" x14ac:dyDescent="0.25">
      <c r="A128" s="131">
        <v>124</v>
      </c>
      <c r="B128" s="177" t="s">
        <v>3</v>
      </c>
      <c r="C128" s="332">
        <f t="shared" ref="C128" ca="1" si="284">IFERROR(C127+OFFSET($S$5,MATCH(C122,$R$6:$R$165,0),0)-$L$2,C127-$L$2) -IFERROR(OFFSET($S$5,MATCH(C122,$R$6:$R$165,0),0),)</f>
        <v>-0.33333333333333331</v>
      </c>
      <c r="D128" s="332">
        <f t="shared" ref="D128" ca="1" si="285">IFERROR(D127+OFFSET($S$5,MATCH(D122,$R$6:$R$165,0),0)-$L$2,D127-$L$2) -IFERROR(OFFSET($S$5,MATCH(D122,$R$6:$R$165,0),0),)</f>
        <v>-0.33333333333333331</v>
      </c>
      <c r="E128" s="332">
        <f t="shared" ref="E128" ca="1" si="286">IFERROR(E127+OFFSET($S$5,MATCH(E122,$R$6:$R$165,0),0)-$L$2,E127-$L$2) -IFERROR(OFFSET($S$5,MATCH(E122,$R$6:$R$165,0),0),)</f>
        <v>-0.33333333333333331</v>
      </c>
      <c r="F128" s="332">
        <f t="shared" ref="F128" ca="1" si="287">IFERROR(F127+OFFSET($S$5,MATCH(F122,$R$6:$R$165,0),0)-$L$2,F127-$L$2) -IFERROR(OFFSET($S$5,MATCH(F122,$R$6:$R$165,0),0),)</f>
        <v>-0.33333333333333331</v>
      </c>
      <c r="G128" s="332">
        <f t="shared" ref="G128" ca="1" si="288">IFERROR(G127+OFFSET($S$5,MATCH(G122,$R$6:$R$165,0),0)-$L$2,G127-$L$2) -IFERROR(OFFSET($S$5,MATCH(G122,$R$6:$R$165,0),0),)</f>
        <v>-0.33333333333333331</v>
      </c>
      <c r="H128" s="125"/>
      <c r="I128" s="125"/>
      <c r="J128" s="133" t="s">
        <v>3</v>
      </c>
      <c r="K128" s="332">
        <f t="shared" ref="K128" ca="1" si="289">IFERROR(K127+OFFSET($S$5,MATCH(K122,$R$6:$R$165,0),0)-$L$2,K127-$L$2) -IFERROR(OFFSET($S$5,MATCH(K122,$R$6:$R$165,0),0),)</f>
        <v>-0.33333333333333331</v>
      </c>
      <c r="L128" s="332">
        <f t="shared" ref="L128" ca="1" si="290">IFERROR(L127+OFFSET($S$5,MATCH(L122,$R$6:$R$165,0),0)-$L$2,L127-$L$2) -IFERROR(OFFSET($S$5,MATCH(L122,$R$6:$R$165,0),0),)</f>
        <v>-0.33333333333333331</v>
      </c>
      <c r="M128" s="332">
        <f t="shared" ref="M128" ca="1" si="291">IFERROR(M127+OFFSET($S$5,MATCH(M122,$R$6:$R$165,0),0)-$L$2,M127-$L$2) -IFERROR(OFFSET($S$5,MATCH(M122,$R$6:$R$165,0),0),)</f>
        <v>-0.33333333333333331</v>
      </c>
      <c r="N128" s="332">
        <f t="shared" ref="N128" ca="1" si="292">IFERROR(N127+OFFSET($S$5,MATCH(N122,$R$6:$R$165,0),0)-$L$2,N127-$L$2) -IFERROR(OFFSET($S$5,MATCH(N122,$R$6:$R$165,0),0),)</f>
        <v>-0.33333333333333331</v>
      </c>
      <c r="O128" s="332">
        <f t="shared" ref="O128" ca="1" si="293">IFERROR(O127+OFFSET($S$5,MATCH(O122,$R$6:$R$165,0),0)-$L$2,O127-$L$2) -IFERROR(OFFSET($S$5,MATCH(O122,$R$6:$R$165,0),0),)</f>
        <v>-0.33333333333333331</v>
      </c>
      <c r="P128" s="125"/>
      <c r="Q128" s="232"/>
      <c r="R128" s="164"/>
      <c r="S128" s="60"/>
      <c r="V128" s="311" t="s">
        <v>0</v>
      </c>
      <c r="W128" s="317"/>
      <c r="X128" s="483"/>
      <c r="Y128" s="313">
        <f>W129-W128</f>
        <v>0</v>
      </c>
      <c r="Z128" s="330"/>
    </row>
    <row r="129" spans="1:31" ht="15.75" thickBot="1" x14ac:dyDescent="0.3">
      <c r="A129" s="131">
        <v>125</v>
      </c>
      <c r="B129" s="177" t="s">
        <v>4</v>
      </c>
      <c r="C129" s="22">
        <f ca="1">C128+O120</f>
        <v>-1.6249999999999998</v>
      </c>
      <c r="D129" s="22">
        <f ca="1">C129+D128</f>
        <v>-1.958333333333333</v>
      </c>
      <c r="E129" s="22">
        <f t="shared" ref="E129" ca="1" si="294">D129+E128</f>
        <v>-2.2916666666666665</v>
      </c>
      <c r="F129" s="22">
        <f t="shared" ref="F129" ca="1" si="295">E129+F128</f>
        <v>-2.625</v>
      </c>
      <c r="G129" s="22">
        <f t="shared" ref="G129" ca="1" si="296">F129+G128</f>
        <v>-2.9583333333333335</v>
      </c>
      <c r="H129" s="128"/>
      <c r="I129" s="125"/>
      <c r="J129" s="133" t="s">
        <v>4</v>
      </c>
      <c r="K129" s="22">
        <f ca="1">K128+G129</f>
        <v>-3.291666666666667</v>
      </c>
      <c r="L129" s="22">
        <f ca="1">K129+L128</f>
        <v>-3.6250000000000004</v>
      </c>
      <c r="M129" s="22">
        <f t="shared" ref="M129" ca="1" si="297">L129+M128</f>
        <v>-3.9583333333333339</v>
      </c>
      <c r="N129" s="22">
        <f t="shared" ref="N129" ca="1" si="298">M129+N128</f>
        <v>-4.291666666666667</v>
      </c>
      <c r="O129" s="22">
        <f t="shared" ref="O129" ca="1" si="299">N129+O128</f>
        <v>-4.625</v>
      </c>
      <c r="P129" s="125"/>
      <c r="Q129" s="232"/>
      <c r="R129" s="164"/>
      <c r="S129" s="60"/>
      <c r="V129" s="314" t="s">
        <v>1</v>
      </c>
      <c r="W129" s="318"/>
      <c r="X129" s="484"/>
      <c r="Y129" s="316"/>
      <c r="Z129" s="329"/>
    </row>
    <row r="130" spans="1:31" x14ac:dyDescent="0.25">
      <c r="A130" s="131">
        <v>126</v>
      </c>
      <c r="B130" s="228" t="s">
        <v>34</v>
      </c>
      <c r="C130" s="66" t="s">
        <v>31</v>
      </c>
      <c r="D130" s="66" t="s">
        <v>25</v>
      </c>
      <c r="E130" s="66" t="s">
        <v>26</v>
      </c>
      <c r="F130" s="258" t="s">
        <v>27</v>
      </c>
      <c r="G130" s="66" t="s">
        <v>28</v>
      </c>
      <c r="H130" s="123" t="s">
        <v>29</v>
      </c>
      <c r="I130" s="124" t="s">
        <v>30</v>
      </c>
      <c r="J130" s="36"/>
      <c r="K130" s="2"/>
      <c r="L130" s="2"/>
      <c r="M130" s="2"/>
      <c r="N130" s="2"/>
      <c r="O130" s="2"/>
      <c r="P130" s="123"/>
      <c r="Q130" s="229"/>
      <c r="R130" s="164"/>
      <c r="S130" s="60"/>
      <c r="V130" s="311" t="s">
        <v>0</v>
      </c>
      <c r="W130" s="317"/>
      <c r="X130" s="483"/>
      <c r="Y130" s="313">
        <f>W131-W130</f>
        <v>0</v>
      </c>
      <c r="Z130" s="330"/>
    </row>
    <row r="131" spans="1:31" ht="15.75" thickBot="1" x14ac:dyDescent="0.3">
      <c r="A131" s="131">
        <v>127</v>
      </c>
      <c r="B131" s="230" t="s">
        <v>5</v>
      </c>
      <c r="C131" s="67">
        <v>44523</v>
      </c>
      <c r="D131" s="67">
        <v>44524</v>
      </c>
      <c r="E131" s="67">
        <v>44525</v>
      </c>
      <c r="F131" s="67">
        <v>44526</v>
      </c>
      <c r="G131" s="67">
        <v>44527</v>
      </c>
      <c r="H131" s="127">
        <v>44528</v>
      </c>
      <c r="I131" s="127">
        <v>44529</v>
      </c>
      <c r="J131" s="38"/>
      <c r="K131" s="3"/>
      <c r="L131" s="3"/>
      <c r="M131" s="3"/>
      <c r="N131" s="3"/>
      <c r="O131" s="3"/>
      <c r="P131" s="127"/>
      <c r="Q131" s="231"/>
      <c r="R131" s="164"/>
      <c r="S131" s="60"/>
      <c r="V131" s="314" t="s">
        <v>1</v>
      </c>
      <c r="W131" s="318"/>
      <c r="X131" s="484"/>
      <c r="Y131" s="316"/>
      <c r="Z131" s="329"/>
    </row>
    <row r="132" spans="1:31" x14ac:dyDescent="0.25">
      <c r="A132" s="131">
        <v>128</v>
      </c>
      <c r="B132" s="175" t="s">
        <v>0</v>
      </c>
      <c r="C132" s="331"/>
      <c r="D132" s="331"/>
      <c r="E132" s="331"/>
      <c r="F132" s="331"/>
      <c r="G132" s="331"/>
      <c r="H132" s="125"/>
      <c r="I132" s="129"/>
      <c r="J132" s="39"/>
      <c r="K132" s="17"/>
      <c r="L132" s="17"/>
      <c r="M132" s="18"/>
      <c r="N132" s="16"/>
      <c r="O132" s="16"/>
      <c r="P132" s="125"/>
      <c r="Q132" s="232"/>
      <c r="R132" s="164"/>
      <c r="S132" s="60"/>
      <c r="V132" s="319" t="s">
        <v>0</v>
      </c>
      <c r="W132" s="320"/>
      <c r="X132" s="485"/>
      <c r="Y132" s="321">
        <f>W133-W132</f>
        <v>0</v>
      </c>
      <c r="Z132" s="330"/>
    </row>
    <row r="133" spans="1:31" x14ac:dyDescent="0.25">
      <c r="A133" s="131">
        <v>129</v>
      </c>
      <c r="B133" s="177" t="s">
        <v>1</v>
      </c>
      <c r="C133" s="331"/>
      <c r="D133" s="331"/>
      <c r="E133" s="331"/>
      <c r="F133" s="331"/>
      <c r="G133" s="331"/>
      <c r="H133" s="125"/>
      <c r="I133" s="126"/>
      <c r="J133" s="40"/>
      <c r="K133" s="16"/>
      <c r="L133" s="16"/>
      <c r="M133" s="18"/>
      <c r="N133" s="16"/>
      <c r="O133" s="16"/>
      <c r="P133" s="125"/>
      <c r="Q133" s="232"/>
      <c r="R133" s="164"/>
      <c r="S133" s="60"/>
      <c r="V133" s="314" t="s">
        <v>1</v>
      </c>
      <c r="W133" s="320"/>
      <c r="X133" s="485"/>
      <c r="Y133" s="322"/>
      <c r="Z133" s="329"/>
    </row>
    <row r="134" spans="1:31" x14ac:dyDescent="0.25">
      <c r="A134" s="131">
        <v>130</v>
      </c>
      <c r="B134" s="175" t="s">
        <v>0</v>
      </c>
      <c r="C134" s="331"/>
      <c r="D134" s="331"/>
      <c r="E134" s="331"/>
      <c r="F134" s="331"/>
      <c r="G134" s="331"/>
      <c r="H134" s="125"/>
      <c r="I134" s="126"/>
      <c r="J134" s="41"/>
      <c r="K134" s="16"/>
      <c r="L134" s="16"/>
      <c r="M134" s="18"/>
      <c r="N134" s="16"/>
      <c r="O134" s="16"/>
      <c r="P134" s="125"/>
      <c r="Q134" s="232"/>
      <c r="R134" s="164"/>
      <c r="S134" s="60"/>
      <c r="V134" s="311" t="s">
        <v>0</v>
      </c>
      <c r="W134" s="312"/>
      <c r="X134" s="488"/>
      <c r="Y134" s="313">
        <f>W135-W134</f>
        <v>0</v>
      </c>
      <c r="Z134" s="330"/>
    </row>
    <row r="135" spans="1:31" x14ac:dyDescent="0.25">
      <c r="A135" s="131">
        <v>131</v>
      </c>
      <c r="B135" s="177" t="s">
        <v>1</v>
      </c>
      <c r="C135" s="331">
        <f t="shared" ref="C135" ca="1" si="300">IF((C134-C133)&gt;$K$2,$L$2+C132+(C134-C133)-IFERROR(OFFSET($S$5,MATCH(C131,$R$6:$R$165,0),0),),$L$2+C132+$K$2-IFERROR(OFFSET($S$5,MATCH(C131,$R$6:$R$165,0),0),))</f>
        <v>0.36458333333333331</v>
      </c>
      <c r="D135" s="331">
        <f t="shared" ref="D135" ca="1" si="301">IF((D134-D133)&gt;$K$2,$L$2+D132+(D134-D133)-IFERROR(OFFSET($S$5,MATCH(D131,$R$6:$R$165,0),0),),$L$2+D132+$K$2-IFERROR(OFFSET($S$5,MATCH(D131,$R$6:$R$165,0),0),))</f>
        <v>0.36458333333333331</v>
      </c>
      <c r="E135" s="331">
        <f t="shared" ref="E135" ca="1" si="302">IF((E134-E133)&gt;$K$2,$L$2+E132+(E134-E133)-IFERROR(OFFSET($S$5,MATCH(E131,$R$6:$R$165,0),0),),$L$2+E132+$K$2-IFERROR(OFFSET($S$5,MATCH(E131,$R$6:$R$165,0),0),))</f>
        <v>0.36458333333333331</v>
      </c>
      <c r="F135" s="331">
        <f t="shared" ref="F135" ca="1" si="303">IF((F134-F133)&gt;$K$2,$L$2+F132+(F134-F133)-IFERROR(OFFSET($S$5,MATCH(F131,$R$6:$R$165,0),0),),$L$2+F132+$K$2-IFERROR(OFFSET($S$5,MATCH(F131,$R$6:$R$165,0),0),))</f>
        <v>0.36458333333333331</v>
      </c>
      <c r="G135" s="331">
        <f t="shared" ref="G135" ca="1" si="304">IF((G134-G133)&gt;$K$2,$L$2+G132+(G134-G133)-IFERROR(OFFSET($S$5,MATCH(G131,$R$6:$R$165,0),0),),$L$2+G132+$K$2-IFERROR(OFFSET($S$5,MATCH(G131,$R$6:$R$165,0),0),))</f>
        <v>0.36458333333333331</v>
      </c>
      <c r="H135" s="125"/>
      <c r="I135" s="126"/>
      <c r="J135" s="40"/>
      <c r="K135" s="16"/>
      <c r="L135" s="16"/>
      <c r="M135" s="18"/>
      <c r="N135" s="16"/>
      <c r="O135" s="16"/>
      <c r="P135" s="125"/>
      <c r="Q135" s="232"/>
      <c r="R135" s="164"/>
      <c r="S135" s="60"/>
      <c r="V135" s="314" t="s">
        <v>1</v>
      </c>
      <c r="W135" s="315"/>
      <c r="X135" s="489"/>
      <c r="Y135" s="316"/>
      <c r="Z135" s="329"/>
    </row>
    <row r="136" spans="1:31" x14ac:dyDescent="0.25">
      <c r="A136" s="131">
        <v>132</v>
      </c>
      <c r="B136" s="177" t="s">
        <v>2</v>
      </c>
      <c r="C136" s="332">
        <f t="shared" ref="C136" ca="1" si="305">IF(COUNT(C132,C133,C134)&gt;0,IF((C134-C133)&gt;$K$2,((C135-C132)-(C134-C133)),((C135-C132-$K$2))),$K$1)  + IFERROR(OFFSET($Y$5,MATCH(C131,$X$6:$X$165,0),0),$K$1) + IFERROR(OFFSET($S$5,MATCH(C131,$R$6:$R$165,0),0),)</f>
        <v>0</v>
      </c>
      <c r="D136" s="332">
        <f t="shared" ref="D136" ca="1" si="306">IF(COUNT(D132,D133,D134)&gt;0,IF((D134-D133)&gt;$K$2,((D135-D132)-(D134-D133)),((D135-D132-$K$2))),$K$1)  + IFERROR(OFFSET($Y$5,MATCH(D131,$X$6:$X$165,0),0),$K$1) + IFERROR(OFFSET($S$5,MATCH(D131,$R$6:$R$165,0),0),)</f>
        <v>0</v>
      </c>
      <c r="E136" s="332">
        <f t="shared" ref="E136" ca="1" si="307">IF(COUNT(E132,E133,E134)&gt;0,IF((E134-E133)&gt;$K$2,((E135-E132)-(E134-E133)),((E135-E132-$K$2))),$K$1)  + IFERROR(OFFSET($Y$5,MATCH(E131,$X$6:$X$165,0),0),$K$1) + IFERROR(OFFSET($S$5,MATCH(E131,$R$6:$R$165,0),0),)</f>
        <v>0</v>
      </c>
      <c r="F136" s="332">
        <f t="shared" ref="F136" ca="1" si="308">IF(COUNT(F132,F133,F134)&gt;0,IF((F134-F133)&gt;$K$2,((F135-F132)-(F134-F133)),((F135-F132-$K$2))),$K$1)  + IFERROR(OFFSET($Y$5,MATCH(F131,$X$6:$X$165,0),0),$K$1) + IFERROR(OFFSET($S$5,MATCH(F131,$R$6:$R$165,0),0),)</f>
        <v>0</v>
      </c>
      <c r="G136" s="332">
        <f t="shared" ref="G136" ca="1" si="309">IF(COUNT(G132,G133,G134)&gt;0,IF((G134-G133)&gt;$K$2,((G135-G132)-(G134-G133)),((G135-G132-$K$2))),$K$1)  + IFERROR(OFFSET($Y$5,MATCH(G131,$X$6:$X$165,0),0),$K$1) + IFERROR(OFFSET($S$5,MATCH(G131,$R$6:$R$165,0),0),)</f>
        <v>0</v>
      </c>
      <c r="H136" s="125"/>
      <c r="I136" s="126"/>
      <c r="J136" s="40"/>
      <c r="K136" s="19"/>
      <c r="L136" s="19"/>
      <c r="M136" s="20"/>
      <c r="N136" s="19"/>
      <c r="O136" s="19"/>
      <c r="P136" s="125"/>
      <c r="Q136" s="232"/>
      <c r="R136" s="164"/>
      <c r="S136" s="60"/>
      <c r="V136" s="311" t="s">
        <v>0</v>
      </c>
      <c r="W136" s="320"/>
      <c r="X136" s="485"/>
      <c r="Y136" s="321">
        <f>W137-W136</f>
        <v>0</v>
      </c>
      <c r="Z136" s="330"/>
    </row>
    <row r="137" spans="1:31" x14ac:dyDescent="0.25">
      <c r="A137" s="131">
        <v>133</v>
      </c>
      <c r="B137" s="177" t="s">
        <v>3</v>
      </c>
      <c r="C137" s="332">
        <f t="shared" ref="C137" ca="1" si="310">IFERROR(C136+OFFSET($S$5,MATCH(C131,$R$6:$R$165,0),0)-$L$2,C136-$L$2) -IFERROR(OFFSET($S$5,MATCH(C131,$R$6:$R$165,0),0),)</f>
        <v>-0.33333333333333331</v>
      </c>
      <c r="D137" s="332">
        <f t="shared" ref="D137" ca="1" si="311">IFERROR(D136+OFFSET($S$5,MATCH(D131,$R$6:$R$165,0),0)-$L$2,D136-$L$2) -IFERROR(OFFSET($S$5,MATCH(D131,$R$6:$R$165,0),0),)</f>
        <v>-0.33333333333333331</v>
      </c>
      <c r="E137" s="332">
        <f t="shared" ref="E137" ca="1" si="312">IFERROR(E136+OFFSET($S$5,MATCH(E131,$R$6:$R$165,0),0)-$L$2,E136-$L$2) -IFERROR(OFFSET($S$5,MATCH(E131,$R$6:$R$165,0),0),)</f>
        <v>-0.33333333333333331</v>
      </c>
      <c r="F137" s="332">
        <f t="shared" ref="F137" ca="1" si="313">IFERROR(F136+OFFSET($S$5,MATCH(F131,$R$6:$R$165,0),0)-$L$2,F136-$L$2) -IFERROR(OFFSET($S$5,MATCH(F131,$R$6:$R$165,0),0),)</f>
        <v>-0.33333333333333331</v>
      </c>
      <c r="G137" s="332">
        <f t="shared" ref="G137" ca="1" si="314">IFERROR(G136+OFFSET($S$5,MATCH(G131,$R$6:$R$165,0),0)-$L$2,G136-$L$2) -IFERROR(OFFSET($S$5,MATCH(G131,$R$6:$R$165,0),0),)</f>
        <v>-0.33333333333333331</v>
      </c>
      <c r="H137" s="125"/>
      <c r="I137" s="126"/>
      <c r="J137" s="40"/>
      <c r="K137" s="19"/>
      <c r="L137" s="19"/>
      <c r="M137" s="19"/>
      <c r="N137" s="19"/>
      <c r="O137" s="19"/>
      <c r="P137" s="125"/>
      <c r="Q137" s="232"/>
      <c r="R137" s="164"/>
      <c r="S137" s="60"/>
      <c r="V137" s="314" t="s">
        <v>1</v>
      </c>
      <c r="W137" s="315"/>
      <c r="X137" s="489"/>
      <c r="Y137" s="316"/>
      <c r="Z137" s="329"/>
    </row>
    <row r="138" spans="1:31" ht="15.75" thickBot="1" x14ac:dyDescent="0.3">
      <c r="A138" s="131">
        <v>134</v>
      </c>
      <c r="B138" s="184" t="s">
        <v>4</v>
      </c>
      <c r="C138" s="185">
        <f ca="1">C137+O129</f>
        <v>-4.958333333333333</v>
      </c>
      <c r="D138" s="185">
        <f ca="1">C138+D137</f>
        <v>-5.2916666666666661</v>
      </c>
      <c r="E138" s="185">
        <f t="shared" ref="E138:G138" ca="1" si="315">D138+E137</f>
        <v>-5.6249999999999991</v>
      </c>
      <c r="F138" s="185">
        <f t="shared" ca="1" si="315"/>
        <v>-5.9583333333333321</v>
      </c>
      <c r="G138" s="185">
        <f t="shared" ca="1" si="315"/>
        <v>-6.2916666666666652</v>
      </c>
      <c r="H138" s="233"/>
      <c r="I138" s="234"/>
      <c r="J138" s="202"/>
      <c r="K138" s="186"/>
      <c r="L138" s="190"/>
      <c r="M138" s="190"/>
      <c r="N138" s="190"/>
      <c r="O138" s="186"/>
      <c r="P138" s="233"/>
      <c r="Q138" s="235"/>
      <c r="R138" s="165"/>
      <c r="S138" s="62"/>
    </row>
    <row r="139" spans="1:31" ht="16.5" thickTop="1" thickBot="1" x14ac:dyDescent="0.3">
      <c r="A139" s="131">
        <v>135</v>
      </c>
      <c r="B139" s="240" t="s">
        <v>35</v>
      </c>
      <c r="C139" s="168" t="s">
        <v>31</v>
      </c>
      <c r="D139" s="168" t="s">
        <v>25</v>
      </c>
      <c r="E139" s="168" t="s">
        <v>26</v>
      </c>
      <c r="F139" s="168" t="s">
        <v>27</v>
      </c>
      <c r="G139" s="168" t="s">
        <v>28</v>
      </c>
      <c r="H139" s="241" t="s">
        <v>29</v>
      </c>
      <c r="I139" s="306" t="s">
        <v>30</v>
      </c>
      <c r="J139" s="171"/>
      <c r="K139" s="168" t="s">
        <v>31</v>
      </c>
      <c r="L139" s="168" t="s">
        <v>25</v>
      </c>
      <c r="M139" s="168" t="s">
        <v>26</v>
      </c>
      <c r="N139" s="168" t="s">
        <v>27</v>
      </c>
      <c r="O139" s="285" t="s">
        <v>28</v>
      </c>
      <c r="P139" s="241" t="s">
        <v>29</v>
      </c>
      <c r="Q139" s="242" t="s">
        <v>30</v>
      </c>
      <c r="R139" s="468" t="s">
        <v>16</v>
      </c>
      <c r="S139" s="469"/>
      <c r="T139" s="470" t="s">
        <v>17</v>
      </c>
      <c r="U139" s="471"/>
      <c r="V139" s="480" t="s">
        <v>117</v>
      </c>
      <c r="W139" s="481"/>
      <c r="X139" s="481"/>
      <c r="Y139" s="482"/>
      <c r="Z139" s="328"/>
      <c r="AA139" s="450" t="s">
        <v>36</v>
      </c>
      <c r="AB139" s="451"/>
      <c r="AC139" s="451"/>
      <c r="AD139" s="451"/>
      <c r="AE139" s="452"/>
    </row>
    <row r="140" spans="1:31" ht="15.75" thickBot="1" x14ac:dyDescent="0.3">
      <c r="A140" s="131">
        <v>136</v>
      </c>
      <c r="B140" s="243" t="s">
        <v>5</v>
      </c>
      <c r="C140" s="67">
        <v>44530</v>
      </c>
      <c r="D140" s="67">
        <v>44531</v>
      </c>
      <c r="E140" s="67">
        <v>44532</v>
      </c>
      <c r="F140" s="67">
        <v>44533</v>
      </c>
      <c r="G140" s="67">
        <v>44534</v>
      </c>
      <c r="H140" s="150">
        <v>44535</v>
      </c>
      <c r="I140" s="151">
        <v>44536</v>
      </c>
      <c r="J140" s="70"/>
      <c r="K140" s="67">
        <v>44537</v>
      </c>
      <c r="L140" s="67">
        <v>44538</v>
      </c>
      <c r="M140" s="67">
        <v>44539</v>
      </c>
      <c r="N140" s="67">
        <v>44540</v>
      </c>
      <c r="O140" s="67">
        <v>44541</v>
      </c>
      <c r="P140" s="152">
        <v>44542</v>
      </c>
      <c r="Q140" s="244">
        <v>44543</v>
      </c>
      <c r="R140" s="162" t="s">
        <v>14</v>
      </c>
      <c r="S140" s="58" t="s">
        <v>15</v>
      </c>
      <c r="T140" s="64" t="s">
        <v>24</v>
      </c>
      <c r="U140" s="65" t="s">
        <v>18</v>
      </c>
      <c r="V140" s="308"/>
      <c r="W140" s="309" t="s">
        <v>15</v>
      </c>
      <c r="X140" s="310" t="s">
        <v>14</v>
      </c>
      <c r="Y140" s="310" t="s">
        <v>118</v>
      </c>
      <c r="Z140" s="329"/>
      <c r="AA140" s="453"/>
      <c r="AB140" s="454"/>
      <c r="AC140" s="454"/>
      <c r="AD140" s="454"/>
      <c r="AE140" s="455"/>
    </row>
    <row r="141" spans="1:31" x14ac:dyDescent="0.25">
      <c r="A141" s="131">
        <v>137</v>
      </c>
      <c r="B141" s="175" t="s">
        <v>0</v>
      </c>
      <c r="C141" s="331"/>
      <c r="D141" s="331"/>
      <c r="E141" s="333"/>
      <c r="F141" s="331"/>
      <c r="G141" s="331"/>
      <c r="H141" s="154"/>
      <c r="I141" s="154"/>
      <c r="J141" s="132" t="s">
        <v>0</v>
      </c>
      <c r="K141" s="331"/>
      <c r="L141" s="331"/>
      <c r="M141" s="331"/>
      <c r="N141" s="331"/>
      <c r="O141" s="331"/>
      <c r="P141" s="153"/>
      <c r="Q141" s="245"/>
      <c r="R141" s="163"/>
      <c r="S141" s="59"/>
      <c r="V141" s="311" t="s">
        <v>0</v>
      </c>
      <c r="W141" s="312"/>
      <c r="X141" s="483"/>
      <c r="Y141" s="313">
        <f>W142-W141</f>
        <v>0</v>
      </c>
      <c r="Z141" s="330"/>
      <c r="AA141" s="294" t="s">
        <v>109</v>
      </c>
      <c r="AB141" s="295" t="s">
        <v>110</v>
      </c>
      <c r="AC141" s="295" t="s">
        <v>111</v>
      </c>
      <c r="AD141" s="295" t="s">
        <v>112</v>
      </c>
      <c r="AE141" s="296" t="s">
        <v>108</v>
      </c>
    </row>
    <row r="142" spans="1:31" ht="15.75" thickBot="1" x14ac:dyDescent="0.3">
      <c r="A142" s="131">
        <v>138</v>
      </c>
      <c r="B142" s="177" t="s">
        <v>1</v>
      </c>
      <c r="C142" s="331"/>
      <c r="D142" s="331"/>
      <c r="E142" s="333"/>
      <c r="F142" s="331"/>
      <c r="G142" s="331"/>
      <c r="H142" s="154"/>
      <c r="I142" s="154"/>
      <c r="J142" s="133" t="s">
        <v>1</v>
      </c>
      <c r="K142" s="331"/>
      <c r="L142" s="331"/>
      <c r="M142" s="331"/>
      <c r="N142" s="331"/>
      <c r="O142" s="331"/>
      <c r="P142" s="153"/>
      <c r="Q142" s="245"/>
      <c r="R142" s="163"/>
      <c r="S142" s="59"/>
      <c r="V142" s="314" t="s">
        <v>1</v>
      </c>
      <c r="W142" s="315"/>
      <c r="X142" s="484"/>
      <c r="Y142" s="316"/>
      <c r="Z142" s="329"/>
      <c r="AA142" s="291" t="s">
        <v>113</v>
      </c>
      <c r="AB142" s="292" t="s">
        <v>114</v>
      </c>
      <c r="AC142" s="292" t="s">
        <v>115</v>
      </c>
      <c r="AD142" s="292" t="s">
        <v>116</v>
      </c>
      <c r="AE142" s="293" t="s">
        <v>97</v>
      </c>
    </row>
    <row r="143" spans="1:31" x14ac:dyDescent="0.25">
      <c r="A143" s="131">
        <v>139</v>
      </c>
      <c r="B143" s="175" t="s">
        <v>0</v>
      </c>
      <c r="C143" s="331"/>
      <c r="D143" s="331"/>
      <c r="E143" s="333"/>
      <c r="F143" s="331"/>
      <c r="G143" s="331"/>
      <c r="H143" s="154"/>
      <c r="I143" s="154"/>
      <c r="J143" s="132" t="s">
        <v>0</v>
      </c>
      <c r="K143" s="331"/>
      <c r="L143" s="331"/>
      <c r="M143" s="331"/>
      <c r="N143" s="331"/>
      <c r="O143" s="331"/>
      <c r="P143" s="153"/>
      <c r="Q143" s="245"/>
      <c r="R143" s="163"/>
      <c r="S143" s="59"/>
      <c r="V143" s="311" t="s">
        <v>0</v>
      </c>
      <c r="W143" s="317"/>
      <c r="X143" s="483"/>
      <c r="Y143" s="313">
        <f>W144-W143</f>
        <v>0</v>
      </c>
      <c r="Z143" s="330"/>
    </row>
    <row r="144" spans="1:31" x14ac:dyDescent="0.25">
      <c r="A144" s="131">
        <v>140</v>
      </c>
      <c r="B144" s="177" t="s">
        <v>1</v>
      </c>
      <c r="C144" s="331">
        <f t="shared" ref="C144" ca="1" si="316">IF((C143-C142)&gt;$K$2,$L$2+C141+(C143-C142)-IFERROR(OFFSET($S$5,MATCH(C140,$R$6:$R$165,0),0),),$L$2+C141+$K$2-IFERROR(OFFSET($S$5,MATCH(C140,$R$6:$R$165,0),0),))</f>
        <v>0.36458333333333331</v>
      </c>
      <c r="D144" s="331">
        <f t="shared" ref="D144" ca="1" si="317">IF((D143-D142)&gt;$K$2,$L$2+D141+(D143-D142)-IFERROR(OFFSET($S$5,MATCH(D140,$R$6:$R$165,0),0),),$L$2+D141+$K$2-IFERROR(OFFSET($S$5,MATCH(D140,$R$6:$R$165,0),0),))</f>
        <v>0.36458333333333331</v>
      </c>
      <c r="E144" s="331">
        <f t="shared" ref="E144" ca="1" si="318">IF((E143-E142)&gt;$K$2,$L$2+E141+(E143-E142)-IFERROR(OFFSET($S$5,MATCH(E140,$R$6:$R$165,0),0),),$L$2+E141+$K$2-IFERROR(OFFSET($S$5,MATCH(E140,$R$6:$R$165,0),0),))</f>
        <v>0.36458333333333331</v>
      </c>
      <c r="F144" s="331">
        <f t="shared" ref="F144" ca="1" si="319">IF((F143-F142)&gt;$K$2,$L$2+F141+(F143-F142)-IFERROR(OFFSET($S$5,MATCH(F140,$R$6:$R$165,0),0),),$L$2+F141+$K$2-IFERROR(OFFSET($S$5,MATCH(F140,$R$6:$R$165,0),0),))</f>
        <v>0.36458333333333331</v>
      </c>
      <c r="G144" s="331">
        <f t="shared" ref="G144" ca="1" si="320">IF((G143-G142)&gt;$K$2,$L$2+G141+(G143-G142)-IFERROR(OFFSET($S$5,MATCH(G140,$R$6:$R$165,0),0),),$L$2+G141+$K$2-IFERROR(OFFSET($S$5,MATCH(G140,$R$6:$R$165,0),0),))</f>
        <v>0.36458333333333331</v>
      </c>
      <c r="H144" s="154"/>
      <c r="I144" s="154"/>
      <c r="J144" s="133" t="s">
        <v>1</v>
      </c>
      <c r="K144" s="331">
        <f t="shared" ref="K144" ca="1" si="321">IF((K143-K142)&gt;$K$2,$L$2+K141+(K143-K142)-IFERROR(OFFSET($S$5,MATCH(K140,$R$6:$R$165,0),0),),$L$2+K141+$K$2-IFERROR(OFFSET($S$5,MATCH(K140,$R$6:$R$165,0),0),))</f>
        <v>0.36458333333333331</v>
      </c>
      <c r="L144" s="331">
        <f t="shared" ref="L144" ca="1" si="322">IF((L143-L142)&gt;$K$2,$L$2+L141+(L143-L142)-IFERROR(OFFSET($S$5,MATCH(L140,$R$6:$R$165,0),0),),$L$2+L141+$K$2-IFERROR(OFFSET($S$5,MATCH(L140,$R$6:$R$165,0),0),))</f>
        <v>0.36458333333333331</v>
      </c>
      <c r="M144" s="331">
        <f t="shared" ref="M144" ca="1" si="323">IF((M143-M142)&gt;$K$2,$L$2+M141+(M143-M142)-IFERROR(OFFSET($S$5,MATCH(M140,$R$6:$R$165,0),0),),$L$2+M141+$K$2-IFERROR(OFFSET($S$5,MATCH(M140,$R$6:$R$165,0),0),))</f>
        <v>0.36458333333333331</v>
      </c>
      <c r="N144" s="331">
        <f t="shared" ref="N144" ca="1" si="324">IF((N143-N142)&gt;$K$2,$L$2+N141+(N143-N142)-IFERROR(OFFSET($S$5,MATCH(N140,$R$6:$R$165,0),0),),$L$2+N141+$K$2-IFERROR(OFFSET($S$5,MATCH(N140,$R$6:$R$165,0),0),))</f>
        <v>0.36458333333333331</v>
      </c>
      <c r="O144" s="331">
        <f t="shared" ref="O144" ca="1" si="325">IF((O143-O142)&gt;$K$2,$L$2+O141+(O143-O142)-IFERROR(OFFSET($S$5,MATCH(O140,$R$6:$R$165,0),0),),$L$2+O141+$K$2-IFERROR(OFFSET($S$5,MATCH(O140,$R$6:$R$165,0),0),))</f>
        <v>0.36458333333333331</v>
      </c>
      <c r="P144" s="153"/>
      <c r="Q144" s="245"/>
      <c r="R144" s="163"/>
      <c r="S144" s="59"/>
      <c r="V144" s="314" t="s">
        <v>1</v>
      </c>
      <c r="W144" s="318"/>
      <c r="X144" s="484"/>
      <c r="Y144" s="316"/>
      <c r="Z144" s="329"/>
    </row>
    <row r="145" spans="1:26" x14ac:dyDescent="0.25">
      <c r="A145" s="131">
        <v>141</v>
      </c>
      <c r="B145" s="177" t="s">
        <v>2</v>
      </c>
      <c r="C145" s="332">
        <f t="shared" ref="C145" ca="1" si="326">IF(COUNT(C141,C142,C143)&gt;0,IF((C143-C142)&gt;$K$2,((C144-C141)-(C143-C142)),((C144-C141-$K$2))),$K$1)  + IFERROR(OFFSET($Y$5,MATCH(C140,$X$6:$X$165,0),0),$K$1) + IFERROR(OFFSET($S$5,MATCH(C140,$R$6:$R$165,0),0),)</f>
        <v>0</v>
      </c>
      <c r="D145" s="332">
        <f t="shared" ref="D145" ca="1" si="327">IF(COUNT(D141,D142,D143)&gt;0,IF((D143-D142)&gt;$K$2,((D144-D141)-(D143-D142)),((D144-D141-$K$2))),$K$1)  + IFERROR(OFFSET($Y$5,MATCH(D140,$X$6:$X$165,0),0),$K$1) + IFERROR(OFFSET($S$5,MATCH(D140,$R$6:$R$165,0),0),)</f>
        <v>0</v>
      </c>
      <c r="E145" s="332">
        <f t="shared" ref="E145" ca="1" si="328">IF(COUNT(E141,E142,E143)&gt;0,IF((E143-E142)&gt;$K$2,((E144-E141)-(E143-E142)),((E144-E141-$K$2))),$K$1)  + IFERROR(OFFSET($Y$5,MATCH(E140,$X$6:$X$165,0),0),$K$1) + IFERROR(OFFSET($S$5,MATCH(E140,$R$6:$R$165,0),0),)</f>
        <v>0</v>
      </c>
      <c r="F145" s="332">
        <f t="shared" ref="F145" ca="1" si="329">IF(COUNT(F141,F142,F143)&gt;0,IF((F143-F142)&gt;$K$2,((F144-F141)-(F143-F142)),((F144-F141-$K$2))),$K$1)  + IFERROR(OFFSET($Y$5,MATCH(F140,$X$6:$X$165,0),0),$K$1) + IFERROR(OFFSET($S$5,MATCH(F140,$R$6:$R$165,0),0),)</f>
        <v>0</v>
      </c>
      <c r="G145" s="332">
        <f t="shared" ref="G145" ca="1" si="330">IF(COUNT(G141,G142,G143)&gt;0,IF((G143-G142)&gt;$K$2,((G144-G141)-(G143-G142)),((G144-G141-$K$2))),$K$1)  + IFERROR(OFFSET($Y$5,MATCH(G140,$X$6:$X$165,0),0),$K$1) + IFERROR(OFFSET($S$5,MATCH(G140,$R$6:$R$165,0),0),)</f>
        <v>0</v>
      </c>
      <c r="H145" s="154"/>
      <c r="I145" s="154"/>
      <c r="J145" s="133" t="s">
        <v>2</v>
      </c>
      <c r="K145" s="332">
        <f t="shared" ref="K145" ca="1" si="331">IF(COUNT(K141,K142,K143)&gt;0,IF((K143-K142)&gt;$K$2,((K144-K141)-(K143-K142)),((K144-K141-$K$2))),$K$1)  + IFERROR(OFFSET($Y$5,MATCH(K140,$X$6:$X$165,0),0),$K$1) + IFERROR(OFFSET($S$5,MATCH(K140,$R$6:$R$165,0),0),)</f>
        <v>0</v>
      </c>
      <c r="L145" s="332">
        <f t="shared" ref="L145" ca="1" si="332">IF(COUNT(L141,L142,L143)&gt;0,IF((L143-L142)&gt;$K$2,((L144-L141)-(L143-L142)),((L144-L141-$K$2))),$K$1)  + IFERROR(OFFSET($Y$5,MATCH(L140,$X$6:$X$165,0),0),$K$1) + IFERROR(OFFSET($S$5,MATCH(L140,$R$6:$R$165,0),0),)</f>
        <v>0</v>
      </c>
      <c r="M145" s="332">
        <f t="shared" ref="M145" ca="1" si="333">IF(COUNT(M141,M142,M143)&gt;0,IF((M143-M142)&gt;$K$2,((M144-M141)-(M143-M142)),((M144-M141-$K$2))),$K$1)  + IFERROR(OFFSET($Y$5,MATCH(M140,$X$6:$X$165,0),0),$K$1) + IFERROR(OFFSET($S$5,MATCH(M140,$R$6:$R$165,0),0),)</f>
        <v>0</v>
      </c>
      <c r="N145" s="332">
        <f t="shared" ref="N145" ca="1" si="334">IF(COUNT(N141,N142,N143)&gt;0,IF((N143-N142)&gt;$K$2,((N144-N141)-(N143-N142)),((N144-N141-$K$2))),$K$1)  + IFERROR(OFFSET($Y$5,MATCH(N140,$X$6:$X$165,0),0),$K$1) + IFERROR(OFFSET($S$5,MATCH(N140,$R$6:$R$165,0),0),)</f>
        <v>0</v>
      </c>
      <c r="O145" s="332">
        <f t="shared" ref="O145" ca="1" si="335">IF(COUNT(O141,O142,O143)&gt;0,IF((O143-O142)&gt;$K$2,((O144-O141)-(O143-O142)),((O144-O141-$K$2))),$K$1)  + IFERROR(OFFSET($Y$5,MATCH(O140,$X$6:$X$165,0),0),$K$1) + IFERROR(OFFSET($S$5,MATCH(O140,$R$6:$R$165,0),0),)</f>
        <v>0</v>
      </c>
      <c r="P145" s="153"/>
      <c r="Q145" s="245"/>
      <c r="R145" s="163"/>
      <c r="S145" s="59"/>
      <c r="V145" s="311" t="s">
        <v>0</v>
      </c>
      <c r="W145" s="317"/>
      <c r="X145" s="483"/>
      <c r="Y145" s="313">
        <f>W146-W145</f>
        <v>0</v>
      </c>
      <c r="Z145" s="330"/>
    </row>
    <row r="146" spans="1:26" x14ac:dyDescent="0.25">
      <c r="A146" s="131">
        <v>142</v>
      </c>
      <c r="B146" s="177" t="s">
        <v>3</v>
      </c>
      <c r="C146" s="332">
        <f t="shared" ref="C146" ca="1" si="336">IFERROR(C145+OFFSET($S$5,MATCH(C140,$R$6:$R$165,0),0)-$L$2,C145-$L$2) -IFERROR(OFFSET($S$5,MATCH(C140,$R$6:$R$165,0),0),)</f>
        <v>-0.33333333333333331</v>
      </c>
      <c r="D146" s="332">
        <f t="shared" ref="D146" ca="1" si="337">IFERROR(D145+OFFSET($S$5,MATCH(D140,$R$6:$R$165,0),0)-$L$2,D145-$L$2) -IFERROR(OFFSET($S$5,MATCH(D140,$R$6:$R$165,0),0),)</f>
        <v>-0.33333333333333331</v>
      </c>
      <c r="E146" s="332">
        <f t="shared" ref="E146" ca="1" si="338">IFERROR(E145+OFFSET($S$5,MATCH(E140,$R$6:$R$165,0),0)-$L$2,E145-$L$2) -IFERROR(OFFSET($S$5,MATCH(E140,$R$6:$R$165,0),0),)</f>
        <v>-0.33333333333333331</v>
      </c>
      <c r="F146" s="332">
        <f t="shared" ref="F146" ca="1" si="339">IFERROR(F145+OFFSET($S$5,MATCH(F140,$R$6:$R$165,0),0)-$L$2,F145-$L$2) -IFERROR(OFFSET($S$5,MATCH(F140,$R$6:$R$165,0),0),)</f>
        <v>-0.33333333333333331</v>
      </c>
      <c r="G146" s="332">
        <f t="shared" ref="G146" ca="1" si="340">IFERROR(G145+OFFSET($S$5,MATCH(G140,$R$6:$R$165,0),0)-$L$2,G145-$L$2) -IFERROR(OFFSET($S$5,MATCH(G140,$R$6:$R$165,0),0),)</f>
        <v>-0.33333333333333331</v>
      </c>
      <c r="H146" s="154"/>
      <c r="I146" s="154"/>
      <c r="J146" s="133" t="s">
        <v>3</v>
      </c>
      <c r="K146" s="332">
        <f t="shared" ref="K146" ca="1" si="341">IFERROR(K145+OFFSET($S$5,MATCH(K140,$R$6:$R$165,0),0)-$L$2,K145-$L$2) -IFERROR(OFFSET($S$5,MATCH(K140,$R$6:$R$165,0),0),)</f>
        <v>-0.33333333333333331</v>
      </c>
      <c r="L146" s="332">
        <f t="shared" ref="L146" ca="1" si="342">IFERROR(L145+OFFSET($S$5,MATCH(L140,$R$6:$R$165,0),0)-$L$2,L145-$L$2) -IFERROR(OFFSET($S$5,MATCH(L140,$R$6:$R$165,0),0),)</f>
        <v>-0.33333333333333331</v>
      </c>
      <c r="M146" s="332">
        <f t="shared" ref="M146" ca="1" si="343">IFERROR(M145+OFFSET($S$5,MATCH(M140,$R$6:$R$165,0),0)-$L$2,M145-$L$2) -IFERROR(OFFSET($S$5,MATCH(M140,$R$6:$R$165,0),0),)</f>
        <v>-0.33333333333333331</v>
      </c>
      <c r="N146" s="332">
        <f t="shared" ref="N146" ca="1" si="344">IFERROR(N145+OFFSET($S$5,MATCH(N140,$R$6:$R$165,0),0)-$L$2,N145-$L$2) -IFERROR(OFFSET($S$5,MATCH(N140,$R$6:$R$165,0),0),)</f>
        <v>-0.33333333333333331</v>
      </c>
      <c r="O146" s="332">
        <f t="shared" ref="O146" ca="1" si="345">IFERROR(O145+OFFSET($S$5,MATCH(O140,$R$6:$R$165,0),0)-$L$2,O145-$L$2) -IFERROR(OFFSET($S$5,MATCH(O140,$R$6:$R$165,0),0),)</f>
        <v>-0.33333333333333331</v>
      </c>
      <c r="P146" s="153"/>
      <c r="Q146" s="245"/>
      <c r="R146" s="163"/>
      <c r="S146" s="59"/>
      <c r="V146" s="314" t="s">
        <v>1</v>
      </c>
      <c r="W146" s="318"/>
      <c r="X146" s="484"/>
      <c r="Y146" s="316"/>
      <c r="Z146" s="329"/>
    </row>
    <row r="147" spans="1:26" ht="15.75" thickBot="1" x14ac:dyDescent="0.3">
      <c r="A147" s="131">
        <v>143</v>
      </c>
      <c r="B147" s="177" t="s">
        <v>4</v>
      </c>
      <c r="C147" s="15">
        <f ca="1">C146</f>
        <v>-0.33333333333333331</v>
      </c>
      <c r="D147" s="15">
        <f ca="1">C147+D146</f>
        <v>-0.66666666666666663</v>
      </c>
      <c r="E147" s="15">
        <f t="shared" ref="E147" ca="1" si="346">D147+E146</f>
        <v>-1</v>
      </c>
      <c r="F147" s="15">
        <f t="shared" ref="F147" ca="1" si="347">E147+F146</f>
        <v>-1.3333333333333333</v>
      </c>
      <c r="G147" s="15">
        <f t="shared" ref="G147" ca="1" si="348">F147+G146</f>
        <v>-1.6666666666666665</v>
      </c>
      <c r="H147" s="154"/>
      <c r="I147" s="154"/>
      <c r="J147" s="133" t="s">
        <v>4</v>
      </c>
      <c r="K147" s="22">
        <f ca="1">K146+G147</f>
        <v>-1.9999999999999998</v>
      </c>
      <c r="L147" s="22">
        <f ca="1">K147+L146</f>
        <v>-2.333333333333333</v>
      </c>
      <c r="M147" s="22">
        <f t="shared" ref="M147" ca="1" si="349">L147+M146</f>
        <v>-2.6666666666666665</v>
      </c>
      <c r="N147" s="22">
        <f t="shared" ref="N147" ca="1" si="350">M147+N146</f>
        <v>-3</v>
      </c>
      <c r="O147" s="22">
        <f t="shared" ref="O147" ca="1" si="351">N147+O146</f>
        <v>-3.3333333333333335</v>
      </c>
      <c r="P147" s="153"/>
      <c r="Q147" s="245"/>
      <c r="R147" s="163"/>
      <c r="S147" s="59"/>
      <c r="V147" s="319" t="s">
        <v>0</v>
      </c>
      <c r="W147" s="320"/>
      <c r="X147" s="485"/>
      <c r="Y147" s="321">
        <f>W148-W147</f>
        <v>0</v>
      </c>
      <c r="Z147" s="330"/>
    </row>
    <row r="148" spans="1:26" x14ac:dyDescent="0.25">
      <c r="A148" s="131">
        <v>144</v>
      </c>
      <c r="B148" s="246" t="s">
        <v>35</v>
      </c>
      <c r="C148" s="66" t="s">
        <v>31</v>
      </c>
      <c r="D148" s="66" t="s">
        <v>25</v>
      </c>
      <c r="E148" s="66" t="s">
        <v>26</v>
      </c>
      <c r="F148" s="66" t="s">
        <v>27</v>
      </c>
      <c r="G148" s="66" t="s">
        <v>28</v>
      </c>
      <c r="H148" s="148" t="s">
        <v>29</v>
      </c>
      <c r="I148" s="149" t="s">
        <v>30</v>
      </c>
      <c r="J148" s="68"/>
      <c r="K148" s="66" t="s">
        <v>31</v>
      </c>
      <c r="L148" s="66" t="s">
        <v>25</v>
      </c>
      <c r="M148" s="66" t="s">
        <v>26</v>
      </c>
      <c r="N148" s="66" t="s">
        <v>27</v>
      </c>
      <c r="O148" s="66" t="s">
        <v>28</v>
      </c>
      <c r="P148" s="148" t="s">
        <v>29</v>
      </c>
      <c r="Q148" s="247" t="s">
        <v>30</v>
      </c>
      <c r="R148" s="163"/>
      <c r="S148" s="59"/>
      <c r="V148" s="314" t="s">
        <v>1</v>
      </c>
      <c r="W148" s="320"/>
      <c r="X148" s="485"/>
      <c r="Y148" s="322"/>
      <c r="Z148" s="329"/>
    </row>
    <row r="149" spans="1:26" ht="15.75" thickBot="1" x14ac:dyDescent="0.3">
      <c r="A149" s="131">
        <v>145</v>
      </c>
      <c r="B149" s="243" t="s">
        <v>5</v>
      </c>
      <c r="C149" s="67">
        <v>44544</v>
      </c>
      <c r="D149" s="67">
        <v>44545</v>
      </c>
      <c r="E149" s="67">
        <v>44546</v>
      </c>
      <c r="F149" s="67">
        <v>44547</v>
      </c>
      <c r="G149" s="67">
        <v>44548</v>
      </c>
      <c r="H149" s="150">
        <v>44549</v>
      </c>
      <c r="I149" s="151">
        <v>44550</v>
      </c>
      <c r="J149" s="70"/>
      <c r="K149" s="67">
        <v>44551</v>
      </c>
      <c r="L149" s="67">
        <v>44552</v>
      </c>
      <c r="M149" s="67">
        <v>44553</v>
      </c>
      <c r="N149" s="67">
        <v>44554</v>
      </c>
      <c r="O149" s="67">
        <v>44555</v>
      </c>
      <c r="P149" s="152">
        <v>44556</v>
      </c>
      <c r="Q149" s="244">
        <v>44557</v>
      </c>
      <c r="R149" s="163"/>
      <c r="S149" s="59"/>
      <c r="V149" s="311" t="s">
        <v>0</v>
      </c>
      <c r="W149" s="312"/>
      <c r="X149" s="488"/>
      <c r="Y149" s="313">
        <f>W150-W149</f>
        <v>0</v>
      </c>
      <c r="Z149" s="330"/>
    </row>
    <row r="150" spans="1:26" x14ac:dyDescent="0.25">
      <c r="A150" s="131">
        <v>146</v>
      </c>
      <c r="B150" s="175" t="s">
        <v>0</v>
      </c>
      <c r="C150" s="331"/>
      <c r="D150" s="331"/>
      <c r="E150" s="331"/>
      <c r="F150" s="331"/>
      <c r="G150" s="331"/>
      <c r="H150" s="154"/>
      <c r="I150" s="154"/>
      <c r="J150" s="132" t="s">
        <v>0</v>
      </c>
      <c r="K150" s="331"/>
      <c r="L150" s="331"/>
      <c r="M150" s="331"/>
      <c r="N150" s="331"/>
      <c r="O150" s="331"/>
      <c r="P150" s="153"/>
      <c r="Q150" s="245"/>
      <c r="R150" s="163"/>
      <c r="S150" s="59"/>
      <c r="V150" s="314" t="s">
        <v>1</v>
      </c>
      <c r="W150" s="315"/>
      <c r="X150" s="489"/>
      <c r="Y150" s="316"/>
      <c r="Z150" s="329"/>
    </row>
    <row r="151" spans="1:26" x14ac:dyDescent="0.25">
      <c r="A151" s="131">
        <v>147</v>
      </c>
      <c r="B151" s="177" t="s">
        <v>1</v>
      </c>
      <c r="C151" s="331"/>
      <c r="D151" s="331"/>
      <c r="E151" s="331"/>
      <c r="F151" s="331"/>
      <c r="G151" s="331"/>
      <c r="H151" s="154"/>
      <c r="I151" s="154"/>
      <c r="J151" s="133" t="s">
        <v>1</v>
      </c>
      <c r="K151" s="331"/>
      <c r="L151" s="331"/>
      <c r="M151" s="331"/>
      <c r="N151" s="331"/>
      <c r="O151" s="331"/>
      <c r="P151" s="153"/>
      <c r="Q151" s="245"/>
      <c r="R151" s="164"/>
      <c r="S151" s="60"/>
      <c r="V151" s="311" t="s">
        <v>0</v>
      </c>
      <c r="W151" s="320"/>
      <c r="X151" s="485"/>
      <c r="Y151" s="321">
        <f>W152-W151</f>
        <v>0</v>
      </c>
      <c r="Z151" s="330"/>
    </row>
    <row r="152" spans="1:26" x14ac:dyDescent="0.25">
      <c r="A152" s="131">
        <v>148</v>
      </c>
      <c r="B152" s="175" t="s">
        <v>0</v>
      </c>
      <c r="C152" s="331"/>
      <c r="D152" s="331"/>
      <c r="E152" s="331"/>
      <c r="F152" s="331"/>
      <c r="G152" s="331"/>
      <c r="H152" s="154"/>
      <c r="I152" s="154"/>
      <c r="J152" s="132" t="s">
        <v>0</v>
      </c>
      <c r="K152" s="331"/>
      <c r="L152" s="331"/>
      <c r="M152" s="331"/>
      <c r="N152" s="331"/>
      <c r="O152" s="331"/>
      <c r="P152" s="153"/>
      <c r="Q152" s="245"/>
      <c r="R152" s="163"/>
      <c r="S152" s="59"/>
      <c r="V152" s="314" t="s">
        <v>1</v>
      </c>
      <c r="W152" s="315"/>
      <c r="X152" s="489"/>
      <c r="Y152" s="316"/>
      <c r="Z152" s="329"/>
    </row>
    <row r="153" spans="1:26" x14ac:dyDescent="0.25">
      <c r="A153" s="131">
        <v>149</v>
      </c>
      <c r="B153" s="177" t="s">
        <v>1</v>
      </c>
      <c r="C153" s="331">
        <f t="shared" ref="C153" ca="1" si="352">IF((C152-C151)&gt;$K$2,$L$2+C150+(C152-C151)-IFERROR(OFFSET($S$5,MATCH(C149,$R$6:$R$165,0),0),),$L$2+C150+$K$2-IFERROR(OFFSET($S$5,MATCH(C149,$R$6:$R$165,0),0),))</f>
        <v>0.36458333333333331</v>
      </c>
      <c r="D153" s="331">
        <f t="shared" ref="D153" ca="1" si="353">IF((D152-D151)&gt;$K$2,$L$2+D150+(D152-D151)-IFERROR(OFFSET($S$5,MATCH(D149,$R$6:$R$165,0),0),),$L$2+D150+$K$2-IFERROR(OFFSET($S$5,MATCH(D149,$R$6:$R$165,0),0),))</f>
        <v>0.36458333333333331</v>
      </c>
      <c r="E153" s="331">
        <f t="shared" ref="E153" ca="1" si="354">IF((E152-E151)&gt;$K$2,$L$2+E150+(E152-E151)-IFERROR(OFFSET($S$5,MATCH(E149,$R$6:$R$165,0),0),),$L$2+E150+$K$2-IFERROR(OFFSET($S$5,MATCH(E149,$R$6:$R$165,0),0),))</f>
        <v>0.36458333333333331</v>
      </c>
      <c r="F153" s="331">
        <f t="shared" ref="F153" ca="1" si="355">IF((F152-F151)&gt;$K$2,$L$2+F150+(F152-F151)-IFERROR(OFFSET($S$5,MATCH(F149,$R$6:$R$165,0),0),),$L$2+F150+$K$2-IFERROR(OFFSET($S$5,MATCH(F149,$R$6:$R$165,0),0),))</f>
        <v>0.36458333333333331</v>
      </c>
      <c r="G153" s="331">
        <f t="shared" ref="G153" ca="1" si="356">IF((G152-G151)&gt;$K$2,$L$2+G150+(G152-G151)-IFERROR(OFFSET($S$5,MATCH(G149,$R$6:$R$165,0),0),),$L$2+G150+$K$2-IFERROR(OFFSET($S$5,MATCH(G149,$R$6:$R$165,0),0),))</f>
        <v>0.36458333333333331</v>
      </c>
      <c r="H153" s="154"/>
      <c r="I153" s="154"/>
      <c r="J153" s="133" t="s">
        <v>1</v>
      </c>
      <c r="K153" s="331">
        <f t="shared" ref="K153" ca="1" si="357">IF((K152-K151)&gt;$K$2,$L$2+K150+(K152-K151)-IFERROR(OFFSET($S$5,MATCH(K149,$R$6:$R$165,0),0),),$L$2+K150+$K$2-IFERROR(OFFSET($S$5,MATCH(K149,$R$6:$R$165,0),0),))</f>
        <v>0.36458333333333331</v>
      </c>
      <c r="L153" s="331">
        <f t="shared" ref="L153" ca="1" si="358">IF((L152-L151)&gt;$K$2,$L$2+L150+(L152-L151)-IFERROR(OFFSET($S$5,MATCH(L149,$R$6:$R$165,0),0),),$L$2+L150+$K$2-IFERROR(OFFSET($S$5,MATCH(L149,$R$6:$R$165,0),0),))</f>
        <v>0.36458333333333331</v>
      </c>
      <c r="M153" s="331">
        <f t="shared" ref="M153" ca="1" si="359">IF((M152-M151)&gt;$K$2,$L$2+M150+(M152-M151)-IFERROR(OFFSET($S$5,MATCH(M149,$R$6:$R$165,0),0),),$L$2+M150+$K$2-IFERROR(OFFSET($S$5,MATCH(M149,$R$6:$R$165,0),0),))</f>
        <v>0.36458333333333331</v>
      </c>
      <c r="N153" s="331">
        <f t="shared" ref="N153" ca="1" si="360">IF((N152-N151)&gt;$K$2,$L$2+N150+(N152-N151)-IFERROR(OFFSET($S$5,MATCH(N149,$R$6:$R$165,0),0),),$L$2+N150+$K$2-IFERROR(OFFSET($S$5,MATCH(N149,$R$6:$R$165,0),0),))</f>
        <v>0.36458333333333331</v>
      </c>
      <c r="O153" s="331">
        <f t="shared" ref="O153" ca="1" si="361">IF((O152-O151)&gt;$K$2,$L$2+O150+(O152-O151)-IFERROR(OFFSET($S$5,MATCH(O149,$R$6:$R$165,0),0),),$L$2+O150+$K$2-IFERROR(OFFSET($S$5,MATCH(O149,$R$6:$R$165,0),0),))</f>
        <v>0.36458333333333331</v>
      </c>
      <c r="P153" s="153"/>
      <c r="Q153" s="245"/>
      <c r="R153" s="164"/>
      <c r="S153" s="61"/>
      <c r="V153" s="311" t="s">
        <v>0</v>
      </c>
      <c r="W153" s="312"/>
      <c r="X153" s="483"/>
      <c r="Y153" s="313">
        <f>W154-W153</f>
        <v>0</v>
      </c>
      <c r="Z153" s="330"/>
    </row>
    <row r="154" spans="1:26" x14ac:dyDescent="0.25">
      <c r="A154" s="131">
        <v>150</v>
      </c>
      <c r="B154" s="177" t="s">
        <v>2</v>
      </c>
      <c r="C154" s="332">
        <f t="shared" ref="C154" ca="1" si="362">IF(COUNT(C150,C151,C152)&gt;0,IF((C152-C151)&gt;$K$2,((C153-C150)-(C152-C151)),((C153-C150-$K$2))),$K$1)  + IFERROR(OFFSET($Y$5,MATCH(C149,$X$6:$X$165,0),0),$K$1) + IFERROR(OFFSET($S$5,MATCH(C149,$R$6:$R$165,0),0),)</f>
        <v>0</v>
      </c>
      <c r="D154" s="332">
        <f t="shared" ref="D154" ca="1" si="363">IF(COUNT(D150,D151,D152)&gt;0,IF((D152-D151)&gt;$K$2,((D153-D150)-(D152-D151)),((D153-D150-$K$2))),$K$1)  + IFERROR(OFFSET($Y$5,MATCH(D149,$X$6:$X$165,0),0),$K$1) + IFERROR(OFFSET($S$5,MATCH(D149,$R$6:$R$165,0),0),)</f>
        <v>0</v>
      </c>
      <c r="E154" s="332">
        <f t="shared" ref="E154" ca="1" si="364">IF(COUNT(E150,E151,E152)&gt;0,IF((E152-E151)&gt;$K$2,((E153-E150)-(E152-E151)),((E153-E150-$K$2))),$K$1)  + IFERROR(OFFSET($Y$5,MATCH(E149,$X$6:$X$165,0),0),$K$1) + IFERROR(OFFSET($S$5,MATCH(E149,$R$6:$R$165,0),0),)</f>
        <v>0</v>
      </c>
      <c r="F154" s="332">
        <f t="shared" ref="F154" ca="1" si="365">IF(COUNT(F150,F151,F152)&gt;0,IF((F152-F151)&gt;$K$2,((F153-F150)-(F152-F151)),((F153-F150-$K$2))),$K$1)  + IFERROR(OFFSET($Y$5,MATCH(F149,$X$6:$X$165,0),0),$K$1) + IFERROR(OFFSET($S$5,MATCH(F149,$R$6:$R$165,0),0),)</f>
        <v>0</v>
      </c>
      <c r="G154" s="332">
        <f t="shared" ref="G154" ca="1" si="366">IF(COUNT(G150,G151,G152)&gt;0,IF((G152-G151)&gt;$K$2,((G153-G150)-(G152-G151)),((G153-G150-$K$2))),$K$1)  + IFERROR(OFFSET($Y$5,MATCH(G149,$X$6:$X$165,0),0),$K$1) + IFERROR(OFFSET($S$5,MATCH(G149,$R$6:$R$165,0),0),)</f>
        <v>0</v>
      </c>
      <c r="H154" s="154"/>
      <c r="I154" s="154"/>
      <c r="J154" s="133" t="s">
        <v>2</v>
      </c>
      <c r="K154" s="332">
        <f t="shared" ref="K154" ca="1" si="367">IF(COUNT(K150,K151,K152)&gt;0,IF((K152-K151)&gt;$K$2,((K153-K150)-(K152-K151)),((K153-K150-$K$2))),$K$1)  + IFERROR(OFFSET($Y$5,MATCH(K149,$X$6:$X$165,0),0),$K$1) + IFERROR(OFFSET($S$5,MATCH(K149,$R$6:$R$165,0),0),)</f>
        <v>0</v>
      </c>
      <c r="L154" s="332">
        <f t="shared" ref="L154" ca="1" si="368">IF(COUNT(L150,L151,L152)&gt;0,IF((L152-L151)&gt;$K$2,((L153-L150)-(L152-L151)),((L153-L150-$K$2))),$K$1)  + IFERROR(OFFSET($Y$5,MATCH(L149,$X$6:$X$165,0),0),$K$1) + IFERROR(OFFSET($S$5,MATCH(L149,$R$6:$R$165,0),0),)</f>
        <v>0</v>
      </c>
      <c r="M154" s="332">
        <f t="shared" ref="M154" ca="1" si="369">IF(COUNT(M150,M151,M152)&gt;0,IF((M152-M151)&gt;$K$2,((M153-M150)-(M152-M151)),((M153-M150-$K$2))),$K$1)  + IFERROR(OFFSET($Y$5,MATCH(M149,$X$6:$X$165,0),0),$K$1) + IFERROR(OFFSET($S$5,MATCH(M149,$R$6:$R$165,0),0),)</f>
        <v>0</v>
      </c>
      <c r="N154" s="332">
        <f t="shared" ref="N154" ca="1" si="370">IF(COUNT(N150,N151,N152)&gt;0,IF((N152-N151)&gt;$K$2,((N153-N150)-(N152-N151)),((N153-N150-$K$2))),$K$1)  + IFERROR(OFFSET($Y$5,MATCH(N149,$X$6:$X$165,0),0),$K$1) + IFERROR(OFFSET($S$5,MATCH(N149,$R$6:$R$165,0),0),)</f>
        <v>0</v>
      </c>
      <c r="O154" s="332">
        <f t="shared" ref="O154" ca="1" si="371">IF(COUNT(O150,O151,O152)&gt;0,IF((O152-O151)&gt;$K$2,((O153-O150)-(O152-O151)),((O153-O150-$K$2))),$K$1)  + IFERROR(OFFSET($Y$5,MATCH(O149,$X$6:$X$165,0),0),$K$1) + IFERROR(OFFSET($S$5,MATCH(O149,$R$6:$R$165,0),0),)</f>
        <v>0</v>
      </c>
      <c r="P154" s="153"/>
      <c r="Q154" s="245"/>
      <c r="R154" s="164"/>
      <c r="S154" s="60"/>
      <c r="V154" s="314" t="s">
        <v>1</v>
      </c>
      <c r="W154" s="315"/>
      <c r="X154" s="484"/>
      <c r="Y154" s="316"/>
      <c r="Z154" s="329"/>
    </row>
    <row r="155" spans="1:26" x14ac:dyDescent="0.25">
      <c r="A155" s="131">
        <v>151</v>
      </c>
      <c r="B155" s="177" t="s">
        <v>3</v>
      </c>
      <c r="C155" s="332">
        <f t="shared" ref="C155" ca="1" si="372">IFERROR(C154+OFFSET($S$5,MATCH(C149,$R$6:$R$165,0),0)-$L$2,C154-$L$2) -IFERROR(OFFSET($S$5,MATCH(C149,$R$6:$R$165,0),0),)</f>
        <v>-0.33333333333333331</v>
      </c>
      <c r="D155" s="332">
        <f t="shared" ref="D155" ca="1" si="373">IFERROR(D154+OFFSET($S$5,MATCH(D149,$R$6:$R$165,0),0)-$L$2,D154-$L$2) -IFERROR(OFFSET($S$5,MATCH(D149,$R$6:$R$165,0),0),)</f>
        <v>-0.33333333333333331</v>
      </c>
      <c r="E155" s="332">
        <f t="shared" ref="E155" ca="1" si="374">IFERROR(E154+OFFSET($S$5,MATCH(E149,$R$6:$R$165,0),0)-$L$2,E154-$L$2) -IFERROR(OFFSET($S$5,MATCH(E149,$R$6:$R$165,0),0),)</f>
        <v>-0.33333333333333331</v>
      </c>
      <c r="F155" s="332">
        <f t="shared" ref="F155" ca="1" si="375">IFERROR(F154+OFFSET($S$5,MATCH(F149,$R$6:$R$165,0),0)-$L$2,F154-$L$2) -IFERROR(OFFSET($S$5,MATCH(F149,$R$6:$R$165,0),0),)</f>
        <v>-0.33333333333333331</v>
      </c>
      <c r="G155" s="332">
        <f t="shared" ref="G155" ca="1" si="376">IFERROR(G154+OFFSET($S$5,MATCH(G149,$R$6:$R$165,0),0)-$L$2,G154-$L$2) -IFERROR(OFFSET($S$5,MATCH(G149,$R$6:$R$165,0),0),)</f>
        <v>-0.33333333333333331</v>
      </c>
      <c r="H155" s="154"/>
      <c r="I155" s="154"/>
      <c r="J155" s="133" t="s">
        <v>3</v>
      </c>
      <c r="K155" s="332">
        <f t="shared" ref="K155" ca="1" si="377">IFERROR(K154+OFFSET($S$5,MATCH(K149,$R$6:$R$165,0),0)-$L$2,K154-$L$2) -IFERROR(OFFSET($S$5,MATCH(K149,$R$6:$R$165,0),0),)</f>
        <v>-0.33333333333333331</v>
      </c>
      <c r="L155" s="332">
        <f t="shared" ref="L155" ca="1" si="378">IFERROR(L154+OFFSET($S$5,MATCH(L149,$R$6:$R$165,0),0)-$L$2,L154-$L$2) -IFERROR(OFFSET($S$5,MATCH(L149,$R$6:$R$165,0),0),)</f>
        <v>-0.33333333333333331</v>
      </c>
      <c r="M155" s="332">
        <f t="shared" ref="M155" ca="1" si="379">IFERROR(M154+OFFSET($S$5,MATCH(M149,$R$6:$R$165,0),0)-$L$2,M154-$L$2) -IFERROR(OFFSET($S$5,MATCH(M149,$R$6:$R$165,0),0),)</f>
        <v>-0.33333333333333331</v>
      </c>
      <c r="N155" s="332">
        <f t="shared" ref="N155" ca="1" si="380">IFERROR(N154+OFFSET($S$5,MATCH(N149,$R$6:$R$165,0),0)-$L$2,N154-$L$2) -IFERROR(OFFSET($S$5,MATCH(N149,$R$6:$R$165,0),0),)</f>
        <v>-0.33333333333333331</v>
      </c>
      <c r="O155" s="332">
        <f t="shared" ref="O155" ca="1" si="381">IFERROR(O154+OFFSET($S$5,MATCH(O149,$R$6:$R$165,0),0)-$L$2,O154-$L$2) -IFERROR(OFFSET($S$5,MATCH(O149,$R$6:$R$165,0),0),)</f>
        <v>-0.33333333333333331</v>
      </c>
      <c r="P155" s="153"/>
      <c r="Q155" s="245"/>
      <c r="R155" s="164"/>
      <c r="S155" s="60"/>
      <c r="V155" s="311" t="s">
        <v>0</v>
      </c>
      <c r="W155" s="317"/>
      <c r="X155" s="483"/>
      <c r="Y155" s="313">
        <f>W156-W155</f>
        <v>0</v>
      </c>
      <c r="Z155" s="330"/>
    </row>
    <row r="156" spans="1:26" ht="15.75" thickBot="1" x14ac:dyDescent="0.3">
      <c r="A156" s="131">
        <v>152</v>
      </c>
      <c r="B156" s="177" t="s">
        <v>4</v>
      </c>
      <c r="C156" s="22">
        <f ca="1">C155+O147</f>
        <v>-3.666666666666667</v>
      </c>
      <c r="D156" s="22">
        <f ca="1">C156+D155</f>
        <v>-4</v>
      </c>
      <c r="E156" s="22">
        <f t="shared" ref="E156" ca="1" si="382">D156+E155</f>
        <v>-4.333333333333333</v>
      </c>
      <c r="F156" s="22">
        <f t="shared" ref="F156" ca="1" si="383">E156+F155</f>
        <v>-4.6666666666666661</v>
      </c>
      <c r="G156" s="22">
        <f t="shared" ref="G156" ca="1" si="384">F156+G155</f>
        <v>-4.9999999999999991</v>
      </c>
      <c r="H156" s="155"/>
      <c r="I156" s="154"/>
      <c r="J156" s="133" t="s">
        <v>4</v>
      </c>
      <c r="K156" s="22">
        <f ca="1">K155+G156</f>
        <v>-5.3333333333333321</v>
      </c>
      <c r="L156" s="22">
        <f ca="1">K156+L155</f>
        <v>-5.6666666666666652</v>
      </c>
      <c r="M156" s="22">
        <f t="shared" ref="M156" ca="1" si="385">L156+M155</f>
        <v>-5.9999999999999982</v>
      </c>
      <c r="N156" s="22">
        <f t="shared" ref="N156" ca="1" si="386">M156+N155</f>
        <v>-6.3333333333333313</v>
      </c>
      <c r="O156" s="22">
        <f t="shared" ref="O156" ca="1" si="387">N156+O155</f>
        <v>-6.6666666666666643</v>
      </c>
      <c r="P156" s="153"/>
      <c r="Q156" s="245"/>
      <c r="R156" s="164"/>
      <c r="S156" s="60"/>
      <c r="V156" s="314" t="s">
        <v>1</v>
      </c>
      <c r="W156" s="318"/>
      <c r="X156" s="484"/>
      <c r="Y156" s="316"/>
      <c r="Z156" s="329"/>
    </row>
    <row r="157" spans="1:26" x14ac:dyDescent="0.25">
      <c r="A157" s="131">
        <v>153</v>
      </c>
      <c r="B157" s="246" t="s">
        <v>35</v>
      </c>
      <c r="C157" s="66" t="s">
        <v>31</v>
      </c>
      <c r="D157" s="66" t="s">
        <v>25</v>
      </c>
      <c r="E157" s="156" t="s">
        <v>26</v>
      </c>
      <c r="F157" s="8"/>
      <c r="G157" s="2"/>
      <c r="H157" s="2"/>
      <c r="I157" s="6"/>
      <c r="J157" s="36"/>
      <c r="K157" s="2"/>
      <c r="L157" s="2"/>
      <c r="M157" s="2"/>
      <c r="N157" s="2"/>
      <c r="O157" s="2"/>
      <c r="P157" s="2"/>
      <c r="Q157" s="248"/>
      <c r="R157" s="164"/>
      <c r="S157" s="60"/>
      <c r="V157" s="311" t="s">
        <v>0</v>
      </c>
      <c r="W157" s="317"/>
      <c r="X157" s="483"/>
      <c r="Y157" s="313">
        <f>W158-W157</f>
        <v>0</v>
      </c>
      <c r="Z157" s="330"/>
    </row>
    <row r="158" spans="1:26" ht="15.75" thickBot="1" x14ac:dyDescent="0.3">
      <c r="A158" s="131">
        <v>154</v>
      </c>
      <c r="B158" s="243" t="s">
        <v>5</v>
      </c>
      <c r="C158" s="67">
        <v>44558</v>
      </c>
      <c r="D158" s="67">
        <v>44559</v>
      </c>
      <c r="E158" s="157">
        <v>44560</v>
      </c>
      <c r="F158" s="7"/>
      <c r="G158" s="3"/>
      <c r="H158" s="29"/>
      <c r="I158" s="160"/>
      <c r="J158" s="38"/>
      <c r="K158" s="3"/>
      <c r="L158" s="3"/>
      <c r="M158" s="3"/>
      <c r="N158" s="3"/>
      <c r="O158" s="3"/>
      <c r="P158" s="3"/>
      <c r="Q158" s="249"/>
      <c r="R158" s="164"/>
      <c r="S158" s="60"/>
      <c r="V158" s="314" t="s">
        <v>1</v>
      </c>
      <c r="W158" s="318"/>
      <c r="X158" s="484"/>
      <c r="Y158" s="316"/>
      <c r="Z158" s="329"/>
    </row>
    <row r="159" spans="1:26" x14ac:dyDescent="0.25">
      <c r="A159" s="131">
        <v>155</v>
      </c>
      <c r="B159" s="175" t="s">
        <v>0</v>
      </c>
      <c r="C159" s="331"/>
      <c r="D159" s="331"/>
      <c r="E159" s="158"/>
      <c r="F159" s="30"/>
      <c r="G159" s="28"/>
      <c r="H159" s="31"/>
      <c r="I159" s="32"/>
      <c r="J159" s="39"/>
      <c r="K159" s="17"/>
      <c r="L159" s="17"/>
      <c r="M159" s="18"/>
      <c r="N159" s="16"/>
      <c r="O159" s="16"/>
      <c r="P159" s="28"/>
      <c r="Q159" s="250"/>
      <c r="R159" s="164"/>
      <c r="S159" s="60"/>
      <c r="V159" s="319" t="s">
        <v>0</v>
      </c>
      <c r="W159" s="320"/>
      <c r="X159" s="485"/>
      <c r="Y159" s="321">
        <f>W160-W159</f>
        <v>0</v>
      </c>
      <c r="Z159" s="330"/>
    </row>
    <row r="160" spans="1:26" x14ac:dyDescent="0.25">
      <c r="A160" s="131">
        <v>156</v>
      </c>
      <c r="B160" s="177" t="s">
        <v>1</v>
      </c>
      <c r="C160" s="331"/>
      <c r="D160" s="331"/>
      <c r="E160" s="158"/>
      <c r="F160" s="30"/>
      <c r="G160" s="28"/>
      <c r="H160" s="28"/>
      <c r="I160" s="33"/>
      <c r="J160" s="40"/>
      <c r="K160" s="16"/>
      <c r="L160" s="16"/>
      <c r="M160" s="18"/>
      <c r="N160" s="16"/>
      <c r="O160" s="16"/>
      <c r="P160" s="28"/>
      <c r="Q160" s="250"/>
      <c r="R160" s="164"/>
      <c r="S160" s="60"/>
      <c r="V160" s="314" t="s">
        <v>1</v>
      </c>
      <c r="W160" s="320"/>
      <c r="X160" s="485"/>
      <c r="Y160" s="322"/>
      <c r="Z160" s="329"/>
    </row>
    <row r="161" spans="1:26" x14ac:dyDescent="0.25">
      <c r="A161" s="131">
        <v>157</v>
      </c>
      <c r="B161" s="175" t="s">
        <v>0</v>
      </c>
      <c r="C161" s="331"/>
      <c r="D161" s="331"/>
      <c r="E161" s="158"/>
      <c r="F161" s="30"/>
      <c r="G161" s="28"/>
      <c r="H161" s="28"/>
      <c r="I161" s="33"/>
      <c r="J161" s="41"/>
      <c r="K161" s="16"/>
      <c r="L161" s="16"/>
      <c r="M161" s="18"/>
      <c r="N161" s="16"/>
      <c r="O161" s="16"/>
      <c r="P161" s="28"/>
      <c r="Q161" s="250"/>
      <c r="R161" s="164"/>
      <c r="S161" s="60"/>
      <c r="V161" s="311" t="s">
        <v>0</v>
      </c>
      <c r="W161" s="312"/>
      <c r="X161" s="488"/>
      <c r="Y161" s="313">
        <f>W162-W161</f>
        <v>0</v>
      </c>
      <c r="Z161" s="330"/>
    </row>
    <row r="162" spans="1:26" x14ac:dyDescent="0.25">
      <c r="A162" s="131">
        <v>158</v>
      </c>
      <c r="B162" s="177" t="s">
        <v>1</v>
      </c>
      <c r="C162" s="331">
        <f t="shared" ref="C162" ca="1" si="388">IF((C161-C160)&gt;$K$2,$L$2+C159+(C161-C160)-IFERROR(OFFSET($S$5,MATCH(C158,$R$6:$R$165,0),0),),$L$2+C159+$K$2-IFERROR(OFFSET($S$5,MATCH(C158,$R$6:$R$165,0),0),))</f>
        <v>0.36458333333333331</v>
      </c>
      <c r="D162" s="331">
        <f t="shared" ref="D162" ca="1" si="389">IF((D161-D160)&gt;$K$2,$L$2+D159+(D161-D160)-IFERROR(OFFSET($S$5,MATCH(D158,$R$6:$R$165,0),0),),$L$2+D159+$K$2-IFERROR(OFFSET($S$5,MATCH(D158,$R$6:$R$165,0),0),))</f>
        <v>0.36458333333333331</v>
      </c>
      <c r="E162" s="158"/>
      <c r="F162" s="30"/>
      <c r="G162" s="28"/>
      <c r="H162" s="28"/>
      <c r="I162" s="33"/>
      <c r="J162" s="40"/>
      <c r="K162" s="16"/>
      <c r="L162" s="16"/>
      <c r="M162" s="18"/>
      <c r="N162" s="16"/>
      <c r="O162" s="16"/>
      <c r="P162" s="28"/>
      <c r="Q162" s="250"/>
      <c r="R162" s="164"/>
      <c r="S162" s="60"/>
      <c r="V162" s="314" t="s">
        <v>1</v>
      </c>
      <c r="W162" s="315"/>
      <c r="X162" s="489"/>
      <c r="Y162" s="316"/>
      <c r="Z162" s="329"/>
    </row>
    <row r="163" spans="1:26" x14ac:dyDescent="0.25">
      <c r="A163" s="131">
        <v>159</v>
      </c>
      <c r="B163" s="177" t="s">
        <v>2</v>
      </c>
      <c r="C163" s="332">
        <f t="shared" ref="C163" ca="1" si="390">IF(COUNT(C159,C160,C161)&gt;0,IF((C161-C160)&gt;$K$2,((C162-C159)-(C161-C160)),((C162-C159-$K$2))),$K$1)  + IFERROR(OFFSET($Y$5,MATCH(C158,$X$6:$X$165,0),0),$K$1) + IFERROR(OFFSET($S$5,MATCH(C158,$R$6:$R$165,0),0),)</f>
        <v>0</v>
      </c>
      <c r="D163" s="332">
        <f t="shared" ref="D163" ca="1" si="391">IF(COUNT(D159,D160,D161)&gt;0,IF((D161-D160)&gt;$K$2,((D162-D159)-(D161-D160)),((D162-D159-$K$2))),$K$1)  + IFERROR(OFFSET($Y$5,MATCH(D158,$X$6:$X$165,0),0),$K$1) + IFERROR(OFFSET($S$5,MATCH(D158,$R$6:$R$165,0),0),)</f>
        <v>0</v>
      </c>
      <c r="E163" s="159"/>
      <c r="F163" s="34"/>
      <c r="G163" s="19"/>
      <c r="H163" s="28"/>
      <c r="I163" s="33"/>
      <c r="J163" s="40"/>
      <c r="K163" s="19"/>
      <c r="L163" s="19"/>
      <c r="M163" s="20"/>
      <c r="N163" s="19"/>
      <c r="O163" s="19"/>
      <c r="P163" s="28"/>
      <c r="Q163" s="250"/>
      <c r="R163" s="164"/>
      <c r="S163" s="60"/>
      <c r="V163" s="311" t="s">
        <v>0</v>
      </c>
      <c r="W163" s="320"/>
      <c r="X163" s="485"/>
      <c r="Y163" s="321">
        <f>W164-W163</f>
        <v>0</v>
      </c>
      <c r="Z163" s="330"/>
    </row>
    <row r="164" spans="1:26" x14ac:dyDescent="0.25">
      <c r="A164" s="131">
        <v>160</v>
      </c>
      <c r="B164" s="177" t="s">
        <v>3</v>
      </c>
      <c r="C164" s="332">
        <f t="shared" ref="C164" ca="1" si="392">IFERROR(C163+OFFSET($S$5,MATCH(C158,$R$6:$R$165,0),0)-$L$2,C163-$L$2) -IFERROR(OFFSET($S$5,MATCH(C158,$R$6:$R$165,0),0),)</f>
        <v>-0.33333333333333331</v>
      </c>
      <c r="D164" s="332">
        <f t="shared" ref="D164" ca="1" si="393">IFERROR(D163+OFFSET($S$5,MATCH(D158,$R$6:$R$165,0),0)-$L$2,D163-$L$2) -IFERROR(OFFSET($S$5,MATCH(D158,$R$6:$R$165,0),0),)</f>
        <v>-0.33333333333333331</v>
      </c>
      <c r="E164" s="159"/>
      <c r="F164" s="34"/>
      <c r="G164" s="19"/>
      <c r="H164" s="28"/>
      <c r="I164" s="33"/>
      <c r="J164" s="40"/>
      <c r="K164" s="19"/>
      <c r="L164" s="19"/>
      <c r="M164" s="19"/>
      <c r="N164" s="19"/>
      <c r="O164" s="19"/>
      <c r="P164" s="28"/>
      <c r="Q164" s="250"/>
      <c r="R164" s="164"/>
      <c r="S164" s="60"/>
      <c r="V164" s="314" t="s">
        <v>1</v>
      </c>
      <c r="W164" s="315"/>
      <c r="X164" s="489"/>
      <c r="Y164" s="316"/>
      <c r="Z164" s="329"/>
    </row>
    <row r="165" spans="1:26" ht="15.75" thickBot="1" x14ac:dyDescent="0.3">
      <c r="A165" s="131">
        <v>161</v>
      </c>
      <c r="B165" s="184" t="s">
        <v>4</v>
      </c>
      <c r="C165" s="185">
        <f ca="1">C164+O156</f>
        <v>-6.9999999999999973</v>
      </c>
      <c r="D165" s="185">
        <f ca="1">C165+D164</f>
        <v>-7.3333333333333304</v>
      </c>
      <c r="E165" s="251"/>
      <c r="F165" s="252"/>
      <c r="G165" s="186"/>
      <c r="H165" s="253"/>
      <c r="I165" s="254"/>
      <c r="J165" s="202"/>
      <c r="K165" s="186"/>
      <c r="L165" s="190"/>
      <c r="M165" s="190"/>
      <c r="N165" s="190"/>
      <c r="O165" s="186"/>
      <c r="P165" s="253"/>
      <c r="Q165" s="255"/>
      <c r="R165" s="165"/>
      <c r="S165" s="62"/>
    </row>
    <row r="166" spans="1:26" ht="15.75" thickTop="1" x14ac:dyDescent="0.25"/>
  </sheetData>
  <mergeCells count="127">
    <mergeCell ref="X24:X25"/>
    <mergeCell ref="Y24:Y25"/>
    <mergeCell ref="X26:X27"/>
    <mergeCell ref="Y26:Y27"/>
    <mergeCell ref="X28:X29"/>
    <mergeCell ref="Y28:Y29"/>
    <mergeCell ref="O1:T1"/>
    <mergeCell ref="X14:X15"/>
    <mergeCell ref="Y14:Y15"/>
    <mergeCell ref="X16:X17"/>
    <mergeCell ref="Y16:Y17"/>
    <mergeCell ref="X18:X19"/>
    <mergeCell ref="Y18:Y19"/>
    <mergeCell ref="X20:X21"/>
    <mergeCell ref="Y20:Y21"/>
    <mergeCell ref="X22:X23"/>
    <mergeCell ref="Y22:Y23"/>
    <mergeCell ref="V4:Y4"/>
    <mergeCell ref="X6:X7"/>
    <mergeCell ref="Y6:Y7"/>
    <mergeCell ref="X8:X9"/>
    <mergeCell ref="Y8:Y9"/>
    <mergeCell ref="X10:X11"/>
    <mergeCell ref="Y10:Y11"/>
    <mergeCell ref="X12:X13"/>
    <mergeCell ref="Y12:Y13"/>
    <mergeCell ref="X103:X104"/>
    <mergeCell ref="X105:X106"/>
    <mergeCell ref="X107:X108"/>
    <mergeCell ref="X109:X110"/>
    <mergeCell ref="V112:Y112"/>
    <mergeCell ref="X124:X125"/>
    <mergeCell ref="X126:X127"/>
    <mergeCell ref="X93:X94"/>
    <mergeCell ref="X95:X96"/>
    <mergeCell ref="X97:X98"/>
    <mergeCell ref="X99:X100"/>
    <mergeCell ref="X101:X102"/>
    <mergeCell ref="X82:X83"/>
    <mergeCell ref="V85:Y85"/>
    <mergeCell ref="X87:X88"/>
    <mergeCell ref="X89:X90"/>
    <mergeCell ref="X91:X92"/>
    <mergeCell ref="X72:X73"/>
    <mergeCell ref="X74:X75"/>
    <mergeCell ref="X76:X77"/>
    <mergeCell ref="X78:X79"/>
    <mergeCell ref="X80:X81"/>
    <mergeCell ref="X128:X129"/>
    <mergeCell ref="X130:X131"/>
    <mergeCell ref="X132:X133"/>
    <mergeCell ref="X114:X115"/>
    <mergeCell ref="X116:X117"/>
    <mergeCell ref="X118:X119"/>
    <mergeCell ref="X120:X121"/>
    <mergeCell ref="X122:X123"/>
    <mergeCell ref="X163:X164"/>
    <mergeCell ref="X145:X146"/>
    <mergeCell ref="X147:X148"/>
    <mergeCell ref="X149:X150"/>
    <mergeCell ref="X151:X152"/>
    <mergeCell ref="X153:X154"/>
    <mergeCell ref="X134:X135"/>
    <mergeCell ref="X136:X137"/>
    <mergeCell ref="V139:Y139"/>
    <mergeCell ref="X141:X142"/>
    <mergeCell ref="X143:X144"/>
    <mergeCell ref="X155:X156"/>
    <mergeCell ref="X157:X158"/>
    <mergeCell ref="X159:X160"/>
    <mergeCell ref="X161:X162"/>
    <mergeCell ref="X62:X63"/>
    <mergeCell ref="X64:X65"/>
    <mergeCell ref="X66:X67"/>
    <mergeCell ref="X68:X69"/>
    <mergeCell ref="X70:X71"/>
    <mergeCell ref="X51:X52"/>
    <mergeCell ref="X53:X54"/>
    <mergeCell ref="X55:X56"/>
    <mergeCell ref="V58:Y58"/>
    <mergeCell ref="X60:X61"/>
    <mergeCell ref="Y51:Y52"/>
    <mergeCell ref="Y53:Y54"/>
    <mergeCell ref="Y55:Y56"/>
    <mergeCell ref="X41:X42"/>
    <mergeCell ref="X43:X44"/>
    <mergeCell ref="X45:X46"/>
    <mergeCell ref="X47:X48"/>
    <mergeCell ref="X49:X50"/>
    <mergeCell ref="Y41:Y42"/>
    <mergeCell ref="Y43:Y44"/>
    <mergeCell ref="Y45:Y46"/>
    <mergeCell ref="Y47:Y48"/>
    <mergeCell ref="Y49:Y50"/>
    <mergeCell ref="V31:Y31"/>
    <mergeCell ref="X33:X34"/>
    <mergeCell ref="X35:X36"/>
    <mergeCell ref="X37:X38"/>
    <mergeCell ref="X39:X40"/>
    <mergeCell ref="Y33:Y34"/>
    <mergeCell ref="Y35:Y36"/>
    <mergeCell ref="Y37:Y38"/>
    <mergeCell ref="Y39:Y40"/>
    <mergeCell ref="AA139:AE140"/>
    <mergeCell ref="AA31:AE32"/>
    <mergeCell ref="B1:B2"/>
    <mergeCell ref="H1:H2"/>
    <mergeCell ref="M1:M2"/>
    <mergeCell ref="N1:N2"/>
    <mergeCell ref="F1:F2"/>
    <mergeCell ref="D1:D2"/>
    <mergeCell ref="AA58:AE59"/>
    <mergeCell ref="AA85:AE86"/>
    <mergeCell ref="AA112:AE113"/>
    <mergeCell ref="R139:S139"/>
    <mergeCell ref="T139:U139"/>
    <mergeCell ref="K114:L120"/>
    <mergeCell ref="R4:S4"/>
    <mergeCell ref="R31:S31"/>
    <mergeCell ref="T4:U4"/>
    <mergeCell ref="T31:U31"/>
    <mergeCell ref="R58:S58"/>
    <mergeCell ref="T58:U58"/>
    <mergeCell ref="R85:S85"/>
    <mergeCell ref="T85:U85"/>
    <mergeCell ref="R112:S112"/>
    <mergeCell ref="T112:U112"/>
  </mergeCells>
  <conditionalFormatting sqref="B166:Q1048576 B13:Q17 B21:Q23 C30:Q30 B4:Q5 D6:Q8 B6:B12 D12:Q12 C24:Q26 C2 F1 E2 G2 I2 H1 H9:J11 P9:Q11 B18:B20 H18:J20 P18:Q20 G27:Q29 K2:L2 K1:N1">
    <cfRule type="expression" dxfId="318" priority="823">
      <formula>WEEKDAY(B1,11)&gt;5</formula>
    </cfRule>
  </conditionalFormatting>
  <conditionalFormatting sqref="G27:Q27 B166:Q1048576 B13:Q17 B21:Q23 D6:Q8 B6:B12 D12:Q12 B4:Q5 C24:Q26 H9:J11 P9:Q11 B18:B20 H18:J20 P18:Q20">
    <cfRule type="expression" dxfId="317" priority="822">
      <formula>WEEKDAY(B4,11)&gt;5</formula>
    </cfRule>
  </conditionalFormatting>
  <conditionalFormatting sqref="B87:B93">
    <cfRule type="expression" dxfId="316" priority="692">
      <formula>WEEKDAY(B87,11)&gt;5</formula>
    </cfRule>
  </conditionalFormatting>
  <conditionalFormatting sqref="J87:J93">
    <cfRule type="expression" dxfId="315" priority="691">
      <formula>WEEKDAY(J87,11)&gt;5</formula>
    </cfRule>
  </conditionalFormatting>
  <conditionalFormatting sqref="J87:J93">
    <cfRule type="expression" dxfId="314" priority="690">
      <formula>WEEKDAY(J87,11)&gt;5</formula>
    </cfRule>
  </conditionalFormatting>
  <conditionalFormatting sqref="J96:J102">
    <cfRule type="expression" dxfId="313" priority="689">
      <formula>WEEKDAY(J96,11)&gt;5</formula>
    </cfRule>
  </conditionalFormatting>
  <conditionalFormatting sqref="J96:J102">
    <cfRule type="expression" dxfId="312" priority="688">
      <formula>WEEKDAY(J96,11)&gt;5</formula>
    </cfRule>
  </conditionalFormatting>
  <conditionalFormatting sqref="B96:B102">
    <cfRule type="expression" dxfId="311" priority="687">
      <formula>WEEKDAY(B96,11)&gt;5</formula>
    </cfRule>
  </conditionalFormatting>
  <conditionalFormatting sqref="B96:B102">
    <cfRule type="expression" dxfId="310" priority="686">
      <formula>WEEKDAY(B96,11)&gt;5</formula>
    </cfRule>
  </conditionalFormatting>
  <conditionalFormatting sqref="B105:B111">
    <cfRule type="expression" dxfId="309" priority="685">
      <formula>WEEKDAY(B105,11)&gt;5</formula>
    </cfRule>
  </conditionalFormatting>
  <conditionalFormatting sqref="K112:O112">
    <cfRule type="expression" dxfId="308" priority="716">
      <formula>WEEKDAY(K112,11)&gt;5</formula>
    </cfRule>
  </conditionalFormatting>
  <conditionalFormatting sqref="B24:B30">
    <cfRule type="expression" dxfId="307" priority="715">
      <formula>WEEKDAY(B24,11)&gt;5</formula>
    </cfRule>
  </conditionalFormatting>
  <conditionalFormatting sqref="B24:B30">
    <cfRule type="expression" dxfId="306" priority="714">
      <formula>WEEKDAY(B24,11)&gt;5</formula>
    </cfRule>
  </conditionalFormatting>
  <conditionalFormatting sqref="B33:B39">
    <cfRule type="expression" dxfId="305" priority="713">
      <formula>WEEKDAY(B33,11)&gt;5</formula>
    </cfRule>
  </conditionalFormatting>
  <conditionalFormatting sqref="B33:B39">
    <cfRule type="expression" dxfId="304" priority="712">
      <formula>WEEKDAY(B33,11)&gt;5</formula>
    </cfRule>
  </conditionalFormatting>
  <conditionalFormatting sqref="J33:J39">
    <cfRule type="expression" dxfId="303" priority="711">
      <formula>WEEKDAY(J33,11)&gt;5</formula>
    </cfRule>
  </conditionalFormatting>
  <conditionalFormatting sqref="J33:J39">
    <cfRule type="expression" dxfId="302" priority="710">
      <formula>WEEKDAY(J33,11)&gt;5</formula>
    </cfRule>
  </conditionalFormatting>
  <conditionalFormatting sqref="B42:B48">
    <cfRule type="expression" dxfId="301" priority="709">
      <formula>WEEKDAY(B42,11)&gt;5</formula>
    </cfRule>
  </conditionalFormatting>
  <conditionalFormatting sqref="B42:B48">
    <cfRule type="expression" dxfId="300" priority="708">
      <formula>WEEKDAY(B42,11)&gt;5</formula>
    </cfRule>
  </conditionalFormatting>
  <conditionalFormatting sqref="J42:J48">
    <cfRule type="expression" dxfId="299" priority="707">
      <formula>WEEKDAY(J42,11)&gt;5</formula>
    </cfRule>
  </conditionalFormatting>
  <conditionalFormatting sqref="C58:G58">
    <cfRule type="expression" dxfId="298" priority="739">
      <formula>WEEKDAY(C58,11)&gt;5</formula>
    </cfRule>
  </conditionalFormatting>
  <conditionalFormatting sqref="C58:G58">
    <cfRule type="expression" dxfId="297" priority="738">
      <formula>WEEKDAY(C58,11)&gt;5</formula>
    </cfRule>
  </conditionalFormatting>
  <conditionalFormatting sqref="J141:J147">
    <cfRule type="expression" dxfId="296" priority="670">
      <formula>WEEKDAY(J141,11)&gt;5</formula>
    </cfRule>
  </conditionalFormatting>
  <conditionalFormatting sqref="B150:B156">
    <cfRule type="expression" dxfId="295" priority="669">
      <formula>WEEKDAY(B150,11)&gt;5</formula>
    </cfRule>
  </conditionalFormatting>
  <conditionalFormatting sqref="B150:B156">
    <cfRule type="expression" dxfId="294" priority="668">
      <formula>WEEKDAY(B150,11)&gt;5</formula>
    </cfRule>
  </conditionalFormatting>
  <conditionalFormatting sqref="J150:J156">
    <cfRule type="expression" dxfId="293" priority="667">
      <formula>WEEKDAY(J150,11)&gt;5</formula>
    </cfRule>
  </conditionalFormatting>
  <conditionalFormatting sqref="C6:C8">
    <cfRule type="expression" dxfId="292" priority="753">
      <formula>WEEKDAY(C6,11)&gt;5</formula>
    </cfRule>
  </conditionalFormatting>
  <conditionalFormatting sqref="C6:C8">
    <cfRule type="expression" dxfId="291" priority="752">
      <formula>WEEKDAY(C6,11)&gt;5</formula>
    </cfRule>
  </conditionalFormatting>
  <conditionalFormatting sqref="K85:O85">
    <cfRule type="expression" dxfId="290" priority="727">
      <formula>WEEKDAY(K85,11)&gt;5</formula>
    </cfRule>
  </conditionalFormatting>
  <conditionalFormatting sqref="K85:O85">
    <cfRule type="expression" dxfId="289" priority="726">
      <formula>WEEKDAY(K85,11)&gt;5</formula>
    </cfRule>
  </conditionalFormatting>
  <conditionalFormatting sqref="I1">
    <cfRule type="expression" dxfId="288" priority="663">
      <formula>WEEKDAY(I1,11)&gt;5</formula>
    </cfRule>
  </conditionalFormatting>
  <conditionalFormatting sqref="C31:G31">
    <cfRule type="expression" dxfId="287" priority="749">
      <formula>WEEKDAY(C31,11)&gt;5</formula>
    </cfRule>
  </conditionalFormatting>
  <conditionalFormatting sqref="C31:G31">
    <cfRule type="expression" dxfId="286" priority="748">
      <formula>WEEKDAY(C31,11)&gt;5</formula>
    </cfRule>
  </conditionalFormatting>
  <conditionalFormatting sqref="K31:O31">
    <cfRule type="expression" dxfId="285" priority="747">
      <formula>WEEKDAY(K31,11)&gt;5</formula>
    </cfRule>
  </conditionalFormatting>
  <conditionalFormatting sqref="K31:O31">
    <cfRule type="expression" dxfId="284" priority="746">
      <formula>WEEKDAY(K31,11)&gt;5</formula>
    </cfRule>
  </conditionalFormatting>
  <conditionalFormatting sqref="K40:O40">
    <cfRule type="expression" dxfId="283" priority="745">
      <formula>WEEKDAY(K40,11)&gt;5</formula>
    </cfRule>
  </conditionalFormatting>
  <conditionalFormatting sqref="K40:O40">
    <cfRule type="expression" dxfId="282" priority="744">
      <formula>WEEKDAY(K40,11)&gt;5</formula>
    </cfRule>
  </conditionalFormatting>
  <conditionalFormatting sqref="C40:G40">
    <cfRule type="expression" dxfId="281" priority="743">
      <formula>WEEKDAY(C40,11)&gt;5</formula>
    </cfRule>
  </conditionalFormatting>
  <conditionalFormatting sqref="C40:G40">
    <cfRule type="expression" dxfId="280" priority="742">
      <formula>WEEKDAY(C40,11)&gt;5</formula>
    </cfRule>
  </conditionalFormatting>
  <conditionalFormatting sqref="C49:G49">
    <cfRule type="expression" dxfId="279" priority="741">
      <formula>WEEKDAY(C49,11)&gt;5</formula>
    </cfRule>
  </conditionalFormatting>
  <conditionalFormatting sqref="C49:G49">
    <cfRule type="expression" dxfId="278" priority="740">
      <formula>WEEKDAY(C49,11)&gt;5</formula>
    </cfRule>
  </conditionalFormatting>
  <conditionalFormatting sqref="K58:O58">
    <cfRule type="expression" dxfId="277" priority="737">
      <formula>WEEKDAY(K58,11)&gt;5</formula>
    </cfRule>
  </conditionalFormatting>
  <conditionalFormatting sqref="K58:O58">
    <cfRule type="expression" dxfId="276" priority="736">
      <formula>WEEKDAY(K58,11)&gt;5</formula>
    </cfRule>
  </conditionalFormatting>
  <conditionalFormatting sqref="C67:G67">
    <cfRule type="expression" dxfId="275" priority="735">
      <formula>WEEKDAY(C67,11)&gt;5</formula>
    </cfRule>
  </conditionalFormatting>
  <conditionalFormatting sqref="C67:G67">
    <cfRule type="expression" dxfId="274" priority="734">
      <formula>WEEKDAY(C67,11)&gt;5</formula>
    </cfRule>
  </conditionalFormatting>
  <conditionalFormatting sqref="K67:O67">
    <cfRule type="expression" dxfId="273" priority="733">
      <formula>WEEKDAY(K67,11)&gt;5</formula>
    </cfRule>
  </conditionalFormatting>
  <conditionalFormatting sqref="K67:O67">
    <cfRule type="expression" dxfId="272" priority="732">
      <formula>WEEKDAY(K67,11)&gt;5</formula>
    </cfRule>
  </conditionalFormatting>
  <conditionalFormatting sqref="C76:G76">
    <cfRule type="expression" dxfId="271" priority="731">
      <formula>WEEKDAY(C76,11)&gt;5</formula>
    </cfRule>
  </conditionalFormatting>
  <conditionalFormatting sqref="C76:G76">
    <cfRule type="expression" dxfId="270" priority="730">
      <formula>WEEKDAY(C76,11)&gt;5</formula>
    </cfRule>
  </conditionalFormatting>
  <conditionalFormatting sqref="C85:G85">
    <cfRule type="expression" dxfId="269" priority="729">
      <formula>WEEKDAY(C85,11)&gt;5</formula>
    </cfRule>
  </conditionalFormatting>
  <conditionalFormatting sqref="C85:G85">
    <cfRule type="expression" dxfId="268" priority="728">
      <formula>WEEKDAY(C85,11)&gt;5</formula>
    </cfRule>
  </conditionalFormatting>
  <conditionalFormatting sqref="K94:O94">
    <cfRule type="expression" dxfId="267" priority="725">
      <formula>WEEKDAY(K94,11)&gt;5</formula>
    </cfRule>
  </conditionalFormatting>
  <conditionalFormatting sqref="K94:O94">
    <cfRule type="expression" dxfId="266" priority="724">
      <formula>WEEKDAY(K94,11)&gt;5</formula>
    </cfRule>
  </conditionalFormatting>
  <conditionalFormatting sqref="C94:G94">
    <cfRule type="expression" dxfId="265" priority="723">
      <formula>WEEKDAY(C94,11)&gt;5</formula>
    </cfRule>
  </conditionalFormatting>
  <conditionalFormatting sqref="C94:G94">
    <cfRule type="expression" dxfId="264" priority="722">
      <formula>WEEKDAY(C94,11)&gt;5</formula>
    </cfRule>
  </conditionalFormatting>
  <conditionalFormatting sqref="C103:G103">
    <cfRule type="expression" dxfId="263" priority="721">
      <formula>WEEKDAY(C103,11)&gt;5</formula>
    </cfRule>
  </conditionalFormatting>
  <conditionalFormatting sqref="C103:G103">
    <cfRule type="expression" dxfId="262" priority="720">
      <formula>WEEKDAY(C103,11)&gt;5</formula>
    </cfRule>
  </conditionalFormatting>
  <conditionalFormatting sqref="C112:G112">
    <cfRule type="expression" dxfId="261" priority="719">
      <formula>WEEKDAY(C112,11)&gt;5</formula>
    </cfRule>
  </conditionalFormatting>
  <conditionalFormatting sqref="C112:G112">
    <cfRule type="expression" dxfId="260" priority="718">
      <formula>WEEKDAY(C112,11)&gt;5</formula>
    </cfRule>
  </conditionalFormatting>
  <conditionalFormatting sqref="K112:O112">
    <cfRule type="expression" dxfId="259" priority="717">
      <formula>WEEKDAY(K112,11)&gt;5</formula>
    </cfRule>
  </conditionalFormatting>
  <conditionalFormatting sqref="J42:J48">
    <cfRule type="expression" dxfId="258" priority="706">
      <formula>WEEKDAY(J42,11)&gt;5</formula>
    </cfRule>
  </conditionalFormatting>
  <conditionalFormatting sqref="B51:B57">
    <cfRule type="expression" dxfId="257" priority="705">
      <formula>WEEKDAY(B51,11)&gt;5</formula>
    </cfRule>
  </conditionalFormatting>
  <conditionalFormatting sqref="B51:B57">
    <cfRule type="expression" dxfId="256" priority="704">
      <formula>WEEKDAY(B51,11)&gt;5</formula>
    </cfRule>
  </conditionalFormatting>
  <conditionalFormatting sqref="B60:B66">
    <cfRule type="expression" dxfId="255" priority="703">
      <formula>WEEKDAY(B60,11)&gt;5</formula>
    </cfRule>
  </conditionalFormatting>
  <conditionalFormatting sqref="B60:B66">
    <cfRule type="expression" dxfId="254" priority="702">
      <formula>WEEKDAY(B60,11)&gt;5</formula>
    </cfRule>
  </conditionalFormatting>
  <conditionalFormatting sqref="J60:J66">
    <cfRule type="expression" dxfId="253" priority="701">
      <formula>WEEKDAY(J60,11)&gt;5</formula>
    </cfRule>
  </conditionalFormatting>
  <conditionalFormatting sqref="J60:J66">
    <cfRule type="expression" dxfId="252" priority="700">
      <formula>WEEKDAY(J60,11)&gt;5</formula>
    </cfRule>
  </conditionalFormatting>
  <conditionalFormatting sqref="B69:B75">
    <cfRule type="expression" dxfId="251" priority="699">
      <formula>WEEKDAY(B69,11)&gt;5</formula>
    </cfRule>
  </conditionalFormatting>
  <conditionalFormatting sqref="B69:B75">
    <cfRule type="expression" dxfId="250" priority="698">
      <formula>WEEKDAY(B69,11)&gt;5</formula>
    </cfRule>
  </conditionalFormatting>
  <conditionalFormatting sqref="J69:J75">
    <cfRule type="expression" dxfId="249" priority="697">
      <formula>WEEKDAY(J69,11)&gt;5</formula>
    </cfRule>
  </conditionalFormatting>
  <conditionalFormatting sqref="J69:J75">
    <cfRule type="expression" dxfId="248" priority="696">
      <formula>WEEKDAY(J69,11)&gt;5</formula>
    </cfRule>
  </conditionalFormatting>
  <conditionalFormatting sqref="B78:B84">
    <cfRule type="expression" dxfId="247" priority="695">
      <formula>WEEKDAY(B78,11)&gt;5</formula>
    </cfRule>
  </conditionalFormatting>
  <conditionalFormatting sqref="B78:B84">
    <cfRule type="expression" dxfId="246" priority="694">
      <formula>WEEKDAY(B78,11)&gt;5</formula>
    </cfRule>
  </conditionalFormatting>
  <conditionalFormatting sqref="B87:B93">
    <cfRule type="expression" dxfId="245" priority="693">
      <formula>WEEKDAY(B87,11)&gt;5</formula>
    </cfRule>
  </conditionalFormatting>
  <conditionalFormatting sqref="B105:B111">
    <cfRule type="expression" dxfId="244" priority="684">
      <formula>WEEKDAY(B105,11)&gt;5</formula>
    </cfRule>
  </conditionalFormatting>
  <conditionalFormatting sqref="B114:B120">
    <cfRule type="expression" dxfId="243" priority="683">
      <formula>WEEKDAY(B114,11)&gt;5</formula>
    </cfRule>
  </conditionalFormatting>
  <conditionalFormatting sqref="B114:B120">
    <cfRule type="expression" dxfId="242" priority="682">
      <formula>WEEKDAY(B114,11)&gt;5</formula>
    </cfRule>
  </conditionalFormatting>
  <conditionalFormatting sqref="J114:J120">
    <cfRule type="expression" dxfId="241" priority="681">
      <formula>WEEKDAY(J114,11)&gt;5</formula>
    </cfRule>
  </conditionalFormatting>
  <conditionalFormatting sqref="J114:J120">
    <cfRule type="expression" dxfId="240" priority="680">
      <formula>WEEKDAY(J114,11)&gt;5</formula>
    </cfRule>
  </conditionalFormatting>
  <conditionalFormatting sqref="B123:B129">
    <cfRule type="expression" dxfId="239" priority="679">
      <formula>WEEKDAY(B123,11)&gt;5</formula>
    </cfRule>
  </conditionalFormatting>
  <conditionalFormatting sqref="B123:B129">
    <cfRule type="expression" dxfId="238" priority="678">
      <formula>WEEKDAY(B123,11)&gt;5</formula>
    </cfRule>
  </conditionalFormatting>
  <conditionalFormatting sqref="J123:J129">
    <cfRule type="expression" dxfId="237" priority="677">
      <formula>WEEKDAY(J123,11)&gt;5</formula>
    </cfRule>
  </conditionalFormatting>
  <conditionalFormatting sqref="J123:J129">
    <cfRule type="expression" dxfId="236" priority="676">
      <formula>WEEKDAY(J123,11)&gt;5</formula>
    </cfRule>
  </conditionalFormatting>
  <conditionalFormatting sqref="B132:B138">
    <cfRule type="expression" dxfId="235" priority="675">
      <formula>WEEKDAY(B132,11)&gt;5</formula>
    </cfRule>
  </conditionalFormatting>
  <conditionalFormatting sqref="B132:B138">
    <cfRule type="expression" dxfId="234" priority="674">
      <formula>WEEKDAY(B132,11)&gt;5</formula>
    </cfRule>
  </conditionalFormatting>
  <conditionalFormatting sqref="B141:B147">
    <cfRule type="expression" dxfId="233" priority="673">
      <formula>WEEKDAY(B141,11)&gt;5</formula>
    </cfRule>
  </conditionalFormatting>
  <conditionalFormatting sqref="B141:B147">
    <cfRule type="expression" dxfId="232" priority="672">
      <formula>WEEKDAY(B141,11)&gt;5</formula>
    </cfRule>
  </conditionalFormatting>
  <conditionalFormatting sqref="J141:J147">
    <cfRule type="expression" dxfId="231" priority="671">
      <formula>WEEKDAY(J141,11)&gt;5</formula>
    </cfRule>
  </conditionalFormatting>
  <conditionalFormatting sqref="J150:J156">
    <cfRule type="expression" dxfId="230" priority="666">
      <formula>WEEKDAY(J150,11)&gt;5</formula>
    </cfRule>
  </conditionalFormatting>
  <conditionalFormatting sqref="B159:B165">
    <cfRule type="expression" dxfId="229" priority="665">
      <formula>WEEKDAY(B159,11)&gt;5</formula>
    </cfRule>
  </conditionalFormatting>
  <conditionalFormatting sqref="B159:B165">
    <cfRule type="expression" dxfId="228" priority="664">
      <formula>WEEKDAY(B159,11)&gt;5</formula>
    </cfRule>
  </conditionalFormatting>
  <conditionalFormatting sqref="B1:E1 G1">
    <cfRule type="expression" dxfId="227" priority="661">
      <formula>WEEKDAY(B1,11)&gt;5</formula>
    </cfRule>
  </conditionalFormatting>
  <conditionalFormatting sqref="V33:V36">
    <cfRule type="expression" dxfId="226" priority="660">
      <formula>WEEKDAY(V33,11)&gt;5</formula>
    </cfRule>
  </conditionalFormatting>
  <conditionalFormatting sqref="V33:V36">
    <cfRule type="expression" dxfId="225" priority="659">
      <formula>WEEKDAY(V33,11)&gt;5</formula>
    </cfRule>
  </conditionalFormatting>
  <conditionalFormatting sqref="V37:V44">
    <cfRule type="expression" dxfId="224" priority="658">
      <formula>WEEKDAY(V37,11)&gt;5</formula>
    </cfRule>
  </conditionalFormatting>
  <conditionalFormatting sqref="V37:V44">
    <cfRule type="expression" dxfId="223" priority="657">
      <formula>WEEKDAY(V37,11)&gt;5</formula>
    </cfRule>
  </conditionalFormatting>
  <conditionalFormatting sqref="W35">
    <cfRule type="expression" dxfId="222" priority="656">
      <formula>WEEKDAY(W35,11)&gt;5</formula>
    </cfRule>
  </conditionalFormatting>
  <conditionalFormatting sqref="W35">
    <cfRule type="expression" dxfId="221" priority="655">
      <formula>WEEKDAY(W35,11)&gt;5</formula>
    </cfRule>
  </conditionalFormatting>
  <conditionalFormatting sqref="W37">
    <cfRule type="expression" dxfId="220" priority="654">
      <formula>WEEKDAY(W37,11)&gt;5</formula>
    </cfRule>
  </conditionalFormatting>
  <conditionalFormatting sqref="W37">
    <cfRule type="expression" dxfId="219" priority="653">
      <formula>WEEKDAY(W37,11)&gt;5</formula>
    </cfRule>
  </conditionalFormatting>
  <conditionalFormatting sqref="V45:V48">
    <cfRule type="expression" dxfId="218" priority="652">
      <formula>WEEKDAY(V45,11)&gt;5</formula>
    </cfRule>
  </conditionalFormatting>
  <conditionalFormatting sqref="V45:V48">
    <cfRule type="expression" dxfId="217" priority="651">
      <formula>WEEKDAY(V45,11)&gt;5</formula>
    </cfRule>
  </conditionalFormatting>
  <conditionalFormatting sqref="V49:V56">
    <cfRule type="expression" dxfId="216" priority="650">
      <formula>WEEKDAY(V49,11)&gt;5</formula>
    </cfRule>
  </conditionalFormatting>
  <conditionalFormatting sqref="V49:V56">
    <cfRule type="expression" dxfId="215" priority="649">
      <formula>WEEKDAY(V49,11)&gt;5</formula>
    </cfRule>
  </conditionalFormatting>
  <conditionalFormatting sqref="W47">
    <cfRule type="expression" dxfId="214" priority="648">
      <formula>WEEKDAY(W47,11)&gt;5</formula>
    </cfRule>
  </conditionalFormatting>
  <conditionalFormatting sqref="W47">
    <cfRule type="expression" dxfId="213" priority="647">
      <formula>WEEKDAY(W47,11)&gt;5</formula>
    </cfRule>
  </conditionalFormatting>
  <conditionalFormatting sqref="W49">
    <cfRule type="expression" dxfId="212" priority="646">
      <formula>WEEKDAY(W49,11)&gt;5</formula>
    </cfRule>
  </conditionalFormatting>
  <conditionalFormatting sqref="W49">
    <cfRule type="expression" dxfId="211" priority="645">
      <formula>WEEKDAY(W49,11)&gt;5</formula>
    </cfRule>
  </conditionalFormatting>
  <conditionalFormatting sqref="V60:V63">
    <cfRule type="expression" dxfId="210" priority="644">
      <formula>WEEKDAY(V60,11)&gt;5</formula>
    </cfRule>
  </conditionalFormatting>
  <conditionalFormatting sqref="V60:V63">
    <cfRule type="expression" dxfId="209" priority="643">
      <formula>WEEKDAY(V60,11)&gt;5</formula>
    </cfRule>
  </conditionalFormatting>
  <conditionalFormatting sqref="V64:V71">
    <cfRule type="expression" dxfId="208" priority="642">
      <formula>WEEKDAY(V64,11)&gt;5</formula>
    </cfRule>
  </conditionalFormatting>
  <conditionalFormatting sqref="V64:V71">
    <cfRule type="expression" dxfId="207" priority="641">
      <formula>WEEKDAY(V64,11)&gt;5</formula>
    </cfRule>
  </conditionalFormatting>
  <conditionalFormatting sqref="W62">
    <cfRule type="expression" dxfId="206" priority="640">
      <formula>WEEKDAY(W62,11)&gt;5</formula>
    </cfRule>
  </conditionalFormatting>
  <conditionalFormatting sqref="W62">
    <cfRule type="expression" dxfId="205" priority="639">
      <formula>WEEKDAY(W62,11)&gt;5</formula>
    </cfRule>
  </conditionalFormatting>
  <conditionalFormatting sqref="W64">
    <cfRule type="expression" dxfId="204" priority="638">
      <formula>WEEKDAY(W64,11)&gt;5</formula>
    </cfRule>
  </conditionalFormatting>
  <conditionalFormatting sqref="W64">
    <cfRule type="expression" dxfId="203" priority="637">
      <formula>WEEKDAY(W64,11)&gt;5</formula>
    </cfRule>
  </conditionalFormatting>
  <conditionalFormatting sqref="V72:V75">
    <cfRule type="expression" dxfId="202" priority="636">
      <formula>WEEKDAY(V72,11)&gt;5</formula>
    </cfRule>
  </conditionalFormatting>
  <conditionalFormatting sqref="V72:V75">
    <cfRule type="expression" dxfId="201" priority="635">
      <formula>WEEKDAY(V72,11)&gt;5</formula>
    </cfRule>
  </conditionalFormatting>
  <conditionalFormatting sqref="V76:V83">
    <cfRule type="expression" dxfId="200" priority="634">
      <formula>WEEKDAY(V76,11)&gt;5</formula>
    </cfRule>
  </conditionalFormatting>
  <conditionalFormatting sqref="V76:V83">
    <cfRule type="expression" dxfId="199" priority="633">
      <formula>WEEKDAY(V76,11)&gt;5</formula>
    </cfRule>
  </conditionalFormatting>
  <conditionalFormatting sqref="W74">
    <cfRule type="expression" dxfId="198" priority="632">
      <formula>WEEKDAY(W74,11)&gt;5</formula>
    </cfRule>
  </conditionalFormatting>
  <conditionalFormatting sqref="W74">
    <cfRule type="expression" dxfId="197" priority="631">
      <formula>WEEKDAY(W74,11)&gt;5</formula>
    </cfRule>
  </conditionalFormatting>
  <conditionalFormatting sqref="W76">
    <cfRule type="expression" dxfId="196" priority="630">
      <formula>WEEKDAY(W76,11)&gt;5</formula>
    </cfRule>
  </conditionalFormatting>
  <conditionalFormatting sqref="W76">
    <cfRule type="expression" dxfId="195" priority="629">
      <formula>WEEKDAY(W76,11)&gt;5</formula>
    </cfRule>
  </conditionalFormatting>
  <conditionalFormatting sqref="V87:V90">
    <cfRule type="expression" dxfId="194" priority="628">
      <formula>WEEKDAY(V87,11)&gt;5</formula>
    </cfRule>
  </conditionalFormatting>
  <conditionalFormatting sqref="V87:V90">
    <cfRule type="expression" dxfId="193" priority="627">
      <formula>WEEKDAY(V87,11)&gt;5</formula>
    </cfRule>
  </conditionalFormatting>
  <conditionalFormatting sqref="V91:V98">
    <cfRule type="expression" dxfId="192" priority="626">
      <formula>WEEKDAY(V91,11)&gt;5</formula>
    </cfRule>
  </conditionalFormatting>
  <conditionalFormatting sqref="V91:V98">
    <cfRule type="expression" dxfId="191" priority="625">
      <formula>WEEKDAY(V91,11)&gt;5</formula>
    </cfRule>
  </conditionalFormatting>
  <conditionalFormatting sqref="W89">
    <cfRule type="expression" dxfId="190" priority="624">
      <formula>WEEKDAY(W89,11)&gt;5</formula>
    </cfRule>
  </conditionalFormatting>
  <conditionalFormatting sqref="W89">
    <cfRule type="expression" dxfId="189" priority="623">
      <formula>WEEKDAY(W89,11)&gt;5</formula>
    </cfRule>
  </conditionalFormatting>
  <conditionalFormatting sqref="W91">
    <cfRule type="expression" dxfId="188" priority="622">
      <formula>WEEKDAY(W91,11)&gt;5</formula>
    </cfRule>
  </conditionalFormatting>
  <conditionalFormatting sqref="W91">
    <cfRule type="expression" dxfId="187" priority="621">
      <formula>WEEKDAY(W91,11)&gt;5</formula>
    </cfRule>
  </conditionalFormatting>
  <conditionalFormatting sqref="V99:V102">
    <cfRule type="expression" dxfId="186" priority="620">
      <formula>WEEKDAY(V99,11)&gt;5</formula>
    </cfRule>
  </conditionalFormatting>
  <conditionalFormatting sqref="V99:V102">
    <cfRule type="expression" dxfId="185" priority="619">
      <formula>WEEKDAY(V99,11)&gt;5</formula>
    </cfRule>
  </conditionalFormatting>
  <conditionalFormatting sqref="V103:V110">
    <cfRule type="expression" dxfId="184" priority="618">
      <formula>WEEKDAY(V103,11)&gt;5</formula>
    </cfRule>
  </conditionalFormatting>
  <conditionalFormatting sqref="V103:V110">
    <cfRule type="expression" dxfId="183" priority="617">
      <formula>WEEKDAY(V103,11)&gt;5</formula>
    </cfRule>
  </conditionalFormatting>
  <conditionalFormatting sqref="W101">
    <cfRule type="expression" dxfId="182" priority="616">
      <formula>WEEKDAY(W101,11)&gt;5</formula>
    </cfRule>
  </conditionalFormatting>
  <conditionalFormatting sqref="W101">
    <cfRule type="expression" dxfId="181" priority="615">
      <formula>WEEKDAY(W101,11)&gt;5</formula>
    </cfRule>
  </conditionalFormatting>
  <conditionalFormatting sqref="W103">
    <cfRule type="expression" dxfId="180" priority="614">
      <formula>WEEKDAY(W103,11)&gt;5</formula>
    </cfRule>
  </conditionalFormatting>
  <conditionalFormatting sqref="W103">
    <cfRule type="expression" dxfId="179" priority="613">
      <formula>WEEKDAY(W103,11)&gt;5</formula>
    </cfRule>
  </conditionalFormatting>
  <conditionalFormatting sqref="V114:V117">
    <cfRule type="expression" dxfId="178" priority="612">
      <formula>WEEKDAY(V114,11)&gt;5</formula>
    </cfRule>
  </conditionalFormatting>
  <conditionalFormatting sqref="V114:V117">
    <cfRule type="expression" dxfId="177" priority="611">
      <formula>WEEKDAY(V114,11)&gt;5</formula>
    </cfRule>
  </conditionalFormatting>
  <conditionalFormatting sqref="V118:V125">
    <cfRule type="expression" dxfId="176" priority="610">
      <formula>WEEKDAY(V118,11)&gt;5</formula>
    </cfRule>
  </conditionalFormatting>
  <conditionalFormatting sqref="V118:V125">
    <cfRule type="expression" dxfId="175" priority="609">
      <formula>WEEKDAY(V118,11)&gt;5</formula>
    </cfRule>
  </conditionalFormatting>
  <conditionalFormatting sqref="W116">
    <cfRule type="expression" dxfId="174" priority="608">
      <formula>WEEKDAY(W116,11)&gt;5</formula>
    </cfRule>
  </conditionalFormatting>
  <conditionalFormatting sqref="W116">
    <cfRule type="expression" dxfId="173" priority="607">
      <formula>WEEKDAY(W116,11)&gt;5</formula>
    </cfRule>
  </conditionalFormatting>
  <conditionalFormatting sqref="W118">
    <cfRule type="expression" dxfId="172" priority="606">
      <formula>WEEKDAY(W118,11)&gt;5</formula>
    </cfRule>
  </conditionalFormatting>
  <conditionalFormatting sqref="W118">
    <cfRule type="expression" dxfId="171" priority="605">
      <formula>WEEKDAY(W118,11)&gt;5</formula>
    </cfRule>
  </conditionalFormatting>
  <conditionalFormatting sqref="V126:V129">
    <cfRule type="expression" dxfId="170" priority="604">
      <formula>WEEKDAY(V126,11)&gt;5</formula>
    </cfRule>
  </conditionalFormatting>
  <conditionalFormatting sqref="V126:V129">
    <cfRule type="expression" dxfId="169" priority="603">
      <formula>WEEKDAY(V126,11)&gt;5</formula>
    </cfRule>
  </conditionalFormatting>
  <conditionalFormatting sqref="V130:V137">
    <cfRule type="expression" dxfId="168" priority="602">
      <formula>WEEKDAY(V130,11)&gt;5</formula>
    </cfRule>
  </conditionalFormatting>
  <conditionalFormatting sqref="V130:V137">
    <cfRule type="expression" dxfId="167" priority="601">
      <formula>WEEKDAY(V130,11)&gt;5</formula>
    </cfRule>
  </conditionalFormatting>
  <conditionalFormatting sqref="W128">
    <cfRule type="expression" dxfId="166" priority="600">
      <formula>WEEKDAY(W128,11)&gt;5</formula>
    </cfRule>
  </conditionalFormatting>
  <conditionalFormatting sqref="W128">
    <cfRule type="expression" dxfId="165" priority="599">
      <formula>WEEKDAY(W128,11)&gt;5</formula>
    </cfRule>
  </conditionalFormatting>
  <conditionalFormatting sqref="W130">
    <cfRule type="expression" dxfId="164" priority="598">
      <formula>WEEKDAY(W130,11)&gt;5</formula>
    </cfRule>
  </conditionalFormatting>
  <conditionalFormatting sqref="W130">
    <cfRule type="expression" dxfId="163" priority="597">
      <formula>WEEKDAY(W130,11)&gt;5</formula>
    </cfRule>
  </conditionalFormatting>
  <conditionalFormatting sqref="V141:V144">
    <cfRule type="expression" dxfId="162" priority="596">
      <formula>WEEKDAY(V141,11)&gt;5</formula>
    </cfRule>
  </conditionalFormatting>
  <conditionalFormatting sqref="V141:V144">
    <cfRule type="expression" dxfId="161" priority="595">
      <formula>WEEKDAY(V141,11)&gt;5</formula>
    </cfRule>
  </conditionalFormatting>
  <conditionalFormatting sqref="V145:V152">
    <cfRule type="expression" dxfId="160" priority="594">
      <formula>WEEKDAY(V145,11)&gt;5</formula>
    </cfRule>
  </conditionalFormatting>
  <conditionalFormatting sqref="V145:V152">
    <cfRule type="expression" dxfId="159" priority="593">
      <formula>WEEKDAY(V145,11)&gt;5</formula>
    </cfRule>
  </conditionalFormatting>
  <conditionalFormatting sqref="W143">
    <cfRule type="expression" dxfId="158" priority="592">
      <formula>WEEKDAY(W143,11)&gt;5</formula>
    </cfRule>
  </conditionalFormatting>
  <conditionalFormatting sqref="W143">
    <cfRule type="expression" dxfId="157" priority="591">
      <formula>WEEKDAY(W143,11)&gt;5</formula>
    </cfRule>
  </conditionalFormatting>
  <conditionalFormatting sqref="W145">
    <cfRule type="expression" dxfId="156" priority="590">
      <formula>WEEKDAY(W145,11)&gt;5</formula>
    </cfRule>
  </conditionalFormatting>
  <conditionalFormatting sqref="W145">
    <cfRule type="expression" dxfId="155" priority="589">
      <formula>WEEKDAY(W145,11)&gt;5</formula>
    </cfRule>
  </conditionalFormatting>
  <conditionalFormatting sqref="V153:V156">
    <cfRule type="expression" dxfId="154" priority="588">
      <formula>WEEKDAY(V153,11)&gt;5</formula>
    </cfRule>
  </conditionalFormatting>
  <conditionalFormatting sqref="V153:V156">
    <cfRule type="expression" dxfId="153" priority="587">
      <formula>WEEKDAY(V153,11)&gt;5</formula>
    </cfRule>
  </conditionalFormatting>
  <conditionalFormatting sqref="V157:V164">
    <cfRule type="expression" dxfId="152" priority="586">
      <formula>WEEKDAY(V157,11)&gt;5</formula>
    </cfRule>
  </conditionalFormatting>
  <conditionalFormatting sqref="V157:V164">
    <cfRule type="expression" dxfId="151" priority="585">
      <formula>WEEKDAY(V157,11)&gt;5</formula>
    </cfRule>
  </conditionalFormatting>
  <conditionalFormatting sqref="W155">
    <cfRule type="expression" dxfId="150" priority="584">
      <formula>WEEKDAY(W155,11)&gt;5</formula>
    </cfRule>
  </conditionalFormatting>
  <conditionalFormatting sqref="W155">
    <cfRule type="expression" dxfId="149" priority="583">
      <formula>WEEKDAY(W155,11)&gt;5</formula>
    </cfRule>
  </conditionalFormatting>
  <conditionalFormatting sqref="W157">
    <cfRule type="expression" dxfId="148" priority="582">
      <formula>WEEKDAY(W157,11)&gt;5</formula>
    </cfRule>
  </conditionalFormatting>
  <conditionalFormatting sqref="W157">
    <cfRule type="expression" dxfId="147" priority="581">
      <formula>WEEKDAY(W157,11)&gt;5</formula>
    </cfRule>
  </conditionalFormatting>
  <conditionalFormatting sqref="G33:G35">
    <cfRule type="expression" dxfId="146" priority="496">
      <formula>WEEKDAY(G33,11)&gt;5</formula>
    </cfRule>
  </conditionalFormatting>
  <conditionalFormatting sqref="G33:G35">
    <cfRule type="expression" dxfId="145" priority="495">
      <formula>WEEKDAY(G33,11)&gt;5</formula>
    </cfRule>
  </conditionalFormatting>
  <conditionalFormatting sqref="V6:V9">
    <cfRule type="expression" dxfId="144" priority="256">
      <formula>WEEKDAY(V6,11)&gt;5</formula>
    </cfRule>
  </conditionalFormatting>
  <conditionalFormatting sqref="V6:V9">
    <cfRule type="expression" dxfId="143" priority="255">
      <formula>WEEKDAY(V6,11)&gt;5</formula>
    </cfRule>
  </conditionalFormatting>
  <conditionalFormatting sqref="V10:V17">
    <cfRule type="expression" dxfId="142" priority="254">
      <formula>WEEKDAY(V10,11)&gt;5</formula>
    </cfRule>
  </conditionalFormatting>
  <conditionalFormatting sqref="V10:V17">
    <cfRule type="expression" dxfId="141" priority="253">
      <formula>WEEKDAY(V10,11)&gt;5</formula>
    </cfRule>
  </conditionalFormatting>
  <conditionalFormatting sqref="W8">
    <cfRule type="expression" dxfId="140" priority="252">
      <formula>WEEKDAY(W8,11)&gt;5</formula>
    </cfRule>
  </conditionalFormatting>
  <conditionalFormatting sqref="W8">
    <cfRule type="expression" dxfId="139" priority="251">
      <formula>WEEKDAY(W8,11)&gt;5</formula>
    </cfRule>
  </conditionalFormatting>
  <conditionalFormatting sqref="W10">
    <cfRule type="expression" dxfId="138" priority="250">
      <formula>WEEKDAY(W10,11)&gt;5</formula>
    </cfRule>
  </conditionalFormatting>
  <conditionalFormatting sqref="W10">
    <cfRule type="expression" dxfId="137" priority="249">
      <formula>WEEKDAY(W10,11)&gt;5</formula>
    </cfRule>
  </conditionalFormatting>
  <conditionalFormatting sqref="V18:V21">
    <cfRule type="expression" dxfId="136" priority="248">
      <formula>WEEKDAY(V18,11)&gt;5</formula>
    </cfRule>
  </conditionalFormatting>
  <conditionalFormatting sqref="V18:V21">
    <cfRule type="expression" dxfId="135" priority="247">
      <formula>WEEKDAY(V18,11)&gt;5</formula>
    </cfRule>
  </conditionalFormatting>
  <conditionalFormatting sqref="V22:V29">
    <cfRule type="expression" dxfId="134" priority="246">
      <formula>WEEKDAY(V22,11)&gt;5</formula>
    </cfRule>
  </conditionalFormatting>
  <conditionalFormatting sqref="V22:V29">
    <cfRule type="expression" dxfId="133" priority="245">
      <formula>WEEKDAY(V22,11)&gt;5</formula>
    </cfRule>
  </conditionalFormatting>
  <conditionalFormatting sqref="W20">
    <cfRule type="expression" dxfId="132" priority="244">
      <formula>WEEKDAY(W20,11)&gt;5</formula>
    </cfRule>
  </conditionalFormatting>
  <conditionalFormatting sqref="W20">
    <cfRule type="expression" dxfId="131" priority="243">
      <formula>WEEKDAY(W20,11)&gt;5</formula>
    </cfRule>
  </conditionalFormatting>
  <conditionalFormatting sqref="W22">
    <cfRule type="expression" dxfId="130" priority="242">
      <formula>WEEKDAY(W22,11)&gt;5</formula>
    </cfRule>
  </conditionalFormatting>
  <conditionalFormatting sqref="W22">
    <cfRule type="expression" dxfId="129" priority="241">
      <formula>WEEKDAY(W22,11)&gt;5</formula>
    </cfRule>
  </conditionalFormatting>
  <conditionalFormatting sqref="C10">
    <cfRule type="expression" dxfId="128" priority="240">
      <formula>WEEKDAY(C10,11)&gt;5</formula>
    </cfRule>
  </conditionalFormatting>
  <conditionalFormatting sqref="C10">
    <cfRule type="expression" dxfId="127" priority="239">
      <formula>WEEKDAY(C10,11)&gt;5</formula>
    </cfRule>
  </conditionalFormatting>
  <conditionalFormatting sqref="C9">
    <cfRule type="expression" dxfId="126" priority="238">
      <formula>WEEKDAY(C9,11)&gt;5</formula>
    </cfRule>
  </conditionalFormatting>
  <conditionalFormatting sqref="C9">
    <cfRule type="expression" dxfId="125" priority="237">
      <formula>WEEKDAY(C9,11)&gt;5</formula>
    </cfRule>
  </conditionalFormatting>
  <conditionalFormatting sqref="D10:G10">
    <cfRule type="expression" dxfId="124" priority="236">
      <formula>WEEKDAY(D10,11)&gt;5</formula>
    </cfRule>
  </conditionalFormatting>
  <conditionalFormatting sqref="D10:G10">
    <cfRule type="expression" dxfId="123" priority="235">
      <formula>WEEKDAY(D10,11)&gt;5</formula>
    </cfRule>
  </conditionalFormatting>
  <conditionalFormatting sqref="D9:G9">
    <cfRule type="expression" dxfId="122" priority="234">
      <formula>WEEKDAY(D9,11)&gt;5</formula>
    </cfRule>
  </conditionalFormatting>
  <conditionalFormatting sqref="D9:G9">
    <cfRule type="expression" dxfId="121" priority="233">
      <formula>WEEKDAY(D9,11)&gt;5</formula>
    </cfRule>
  </conditionalFormatting>
  <conditionalFormatting sqref="K10:O10">
    <cfRule type="expression" dxfId="120" priority="232">
      <formula>WEEKDAY(K10,11)&gt;5</formula>
    </cfRule>
  </conditionalFormatting>
  <conditionalFormatting sqref="K10:O10">
    <cfRule type="expression" dxfId="119" priority="231">
      <formula>WEEKDAY(K10,11)&gt;5</formula>
    </cfRule>
  </conditionalFormatting>
  <conditionalFormatting sqref="K9:O9">
    <cfRule type="expression" dxfId="118" priority="230">
      <formula>WEEKDAY(K9,11)&gt;5</formula>
    </cfRule>
  </conditionalFormatting>
  <conditionalFormatting sqref="K9:O9">
    <cfRule type="expression" dxfId="117" priority="229">
      <formula>WEEKDAY(K9,11)&gt;5</formula>
    </cfRule>
  </conditionalFormatting>
  <conditionalFormatting sqref="C19:C20">
    <cfRule type="expression" dxfId="116" priority="216">
      <formula>WEEKDAY(C19,11)&gt;5</formula>
    </cfRule>
  </conditionalFormatting>
  <conditionalFormatting sqref="C19:C20">
    <cfRule type="expression" dxfId="115" priority="215">
      <formula>WEEKDAY(C19,11)&gt;5</formula>
    </cfRule>
  </conditionalFormatting>
  <conditionalFormatting sqref="C18">
    <cfRule type="expression" dxfId="114" priority="214">
      <formula>WEEKDAY(C18,11)&gt;5</formula>
    </cfRule>
  </conditionalFormatting>
  <conditionalFormatting sqref="C18">
    <cfRule type="expression" dxfId="113" priority="213">
      <formula>WEEKDAY(C18,11)&gt;5</formula>
    </cfRule>
  </conditionalFormatting>
  <conditionalFormatting sqref="D19:G20">
    <cfRule type="expression" dxfId="112" priority="212">
      <formula>WEEKDAY(D19,11)&gt;5</formula>
    </cfRule>
  </conditionalFormatting>
  <conditionalFormatting sqref="D19:G20">
    <cfRule type="expression" dxfId="111" priority="211">
      <formula>WEEKDAY(D19,11)&gt;5</formula>
    </cfRule>
  </conditionalFormatting>
  <conditionalFormatting sqref="D18:G18">
    <cfRule type="expression" dxfId="110" priority="210">
      <formula>WEEKDAY(D18,11)&gt;5</formula>
    </cfRule>
  </conditionalFormatting>
  <conditionalFormatting sqref="D18:G18">
    <cfRule type="expression" dxfId="109" priority="209">
      <formula>WEEKDAY(D18,11)&gt;5</formula>
    </cfRule>
  </conditionalFormatting>
  <conditionalFormatting sqref="K19:O20">
    <cfRule type="expression" dxfId="108" priority="208">
      <formula>WEEKDAY(K19,11)&gt;5</formula>
    </cfRule>
  </conditionalFormatting>
  <conditionalFormatting sqref="K19:O20">
    <cfRule type="expression" dxfId="107" priority="207">
      <formula>WEEKDAY(K19,11)&gt;5</formula>
    </cfRule>
  </conditionalFormatting>
  <conditionalFormatting sqref="K18:O18">
    <cfRule type="expression" dxfId="106" priority="206">
      <formula>WEEKDAY(K18,11)&gt;5</formula>
    </cfRule>
  </conditionalFormatting>
  <conditionalFormatting sqref="K18:O18">
    <cfRule type="expression" dxfId="105" priority="205">
      <formula>WEEKDAY(K18,11)&gt;5</formula>
    </cfRule>
  </conditionalFormatting>
  <conditionalFormatting sqref="C28:F29">
    <cfRule type="expression" dxfId="104" priority="204">
      <formula>WEEKDAY(C28,11)&gt;5</formula>
    </cfRule>
  </conditionalFormatting>
  <conditionalFormatting sqref="C28:F29">
    <cfRule type="expression" dxfId="103" priority="203">
      <formula>WEEKDAY(C28,11)&gt;5</formula>
    </cfRule>
  </conditionalFormatting>
  <conditionalFormatting sqref="C27:F27">
    <cfRule type="expression" dxfId="102" priority="202">
      <formula>WEEKDAY(C27,11)&gt;5</formula>
    </cfRule>
  </conditionalFormatting>
  <conditionalFormatting sqref="C27:F27">
    <cfRule type="expression" dxfId="101" priority="201">
      <formula>WEEKDAY(C27,11)&gt;5</formula>
    </cfRule>
  </conditionalFormatting>
  <conditionalFormatting sqref="G37:G38">
    <cfRule type="expression" dxfId="100" priority="200">
      <formula>WEEKDAY(G37,11)&gt;5</formula>
    </cfRule>
  </conditionalFormatting>
  <conditionalFormatting sqref="G37:G38">
    <cfRule type="expression" dxfId="99" priority="199">
      <formula>WEEKDAY(G37,11)&gt;5</formula>
    </cfRule>
  </conditionalFormatting>
  <conditionalFormatting sqref="G36">
    <cfRule type="expression" dxfId="98" priority="198">
      <formula>WEEKDAY(G36,11)&gt;5</formula>
    </cfRule>
  </conditionalFormatting>
  <conditionalFormatting sqref="G36">
    <cfRule type="expression" dxfId="97" priority="197">
      <formula>WEEKDAY(G36,11)&gt;5</formula>
    </cfRule>
  </conditionalFormatting>
  <conditionalFormatting sqref="K37:O38">
    <cfRule type="expression" dxfId="96" priority="100">
      <formula>WEEKDAY(K37,11)&gt;5</formula>
    </cfRule>
  </conditionalFormatting>
  <conditionalFormatting sqref="K37:O38">
    <cfRule type="expression" dxfId="95" priority="99">
      <formula>WEEKDAY(K37,11)&gt;5</formula>
    </cfRule>
  </conditionalFormatting>
  <conditionalFormatting sqref="K36:O36">
    <cfRule type="expression" dxfId="94" priority="98">
      <formula>WEEKDAY(K36,11)&gt;5</formula>
    </cfRule>
  </conditionalFormatting>
  <conditionalFormatting sqref="K36:O36">
    <cfRule type="expression" dxfId="93" priority="97">
      <formula>WEEKDAY(K36,11)&gt;5</formula>
    </cfRule>
  </conditionalFormatting>
  <conditionalFormatting sqref="C46:G47">
    <cfRule type="expression" dxfId="92" priority="96">
      <formula>WEEKDAY(C46,11)&gt;5</formula>
    </cfRule>
  </conditionalFormatting>
  <conditionalFormatting sqref="C46:G47">
    <cfRule type="expression" dxfId="91" priority="95">
      <formula>WEEKDAY(C46,11)&gt;5</formula>
    </cfRule>
  </conditionalFormatting>
  <conditionalFormatting sqref="C45:G45">
    <cfRule type="expression" dxfId="90" priority="94">
      <formula>WEEKDAY(C45,11)&gt;5</formula>
    </cfRule>
  </conditionalFormatting>
  <conditionalFormatting sqref="C45:G45">
    <cfRule type="expression" dxfId="89" priority="93">
      <formula>WEEKDAY(C45,11)&gt;5</formula>
    </cfRule>
  </conditionalFormatting>
  <conditionalFormatting sqref="K46:O47">
    <cfRule type="expression" dxfId="88" priority="92">
      <formula>WEEKDAY(K46,11)&gt;5</formula>
    </cfRule>
  </conditionalFormatting>
  <conditionalFormatting sqref="K46:O47">
    <cfRule type="expression" dxfId="87" priority="91">
      <formula>WEEKDAY(K46,11)&gt;5</formula>
    </cfRule>
  </conditionalFormatting>
  <conditionalFormatting sqref="K45:O45">
    <cfRule type="expression" dxfId="86" priority="90">
      <formula>WEEKDAY(K45,11)&gt;5</formula>
    </cfRule>
  </conditionalFormatting>
  <conditionalFormatting sqref="K45:O45">
    <cfRule type="expression" dxfId="85" priority="89">
      <formula>WEEKDAY(K45,11)&gt;5</formula>
    </cfRule>
  </conditionalFormatting>
  <conditionalFormatting sqref="C55:G56">
    <cfRule type="expression" dxfId="84" priority="88">
      <formula>WEEKDAY(C55,11)&gt;5</formula>
    </cfRule>
  </conditionalFormatting>
  <conditionalFormatting sqref="C55:G56">
    <cfRule type="expression" dxfId="83" priority="87">
      <formula>WEEKDAY(C55,11)&gt;5</formula>
    </cfRule>
  </conditionalFormatting>
  <conditionalFormatting sqref="C54:G54">
    <cfRule type="expression" dxfId="82" priority="86">
      <formula>WEEKDAY(C54,11)&gt;5</formula>
    </cfRule>
  </conditionalFormatting>
  <conditionalFormatting sqref="C54:G54">
    <cfRule type="expression" dxfId="81" priority="85">
      <formula>WEEKDAY(C54,11)&gt;5</formula>
    </cfRule>
  </conditionalFormatting>
  <conditionalFormatting sqref="C64:G65">
    <cfRule type="expression" dxfId="80" priority="84">
      <formula>WEEKDAY(C64,11)&gt;5</formula>
    </cfRule>
  </conditionalFormatting>
  <conditionalFormatting sqref="C64:G65">
    <cfRule type="expression" dxfId="79" priority="83">
      <formula>WEEKDAY(C64,11)&gt;5</formula>
    </cfRule>
  </conditionalFormatting>
  <conditionalFormatting sqref="C63:G63">
    <cfRule type="expression" dxfId="78" priority="82">
      <formula>WEEKDAY(C63,11)&gt;5</formula>
    </cfRule>
  </conditionalFormatting>
  <conditionalFormatting sqref="C63:G63">
    <cfRule type="expression" dxfId="77" priority="81">
      <formula>WEEKDAY(C63,11)&gt;5</formula>
    </cfRule>
  </conditionalFormatting>
  <conditionalFormatting sqref="K64:O65">
    <cfRule type="expression" dxfId="76" priority="80">
      <formula>WEEKDAY(K64,11)&gt;5</formula>
    </cfRule>
  </conditionalFormatting>
  <conditionalFormatting sqref="K64:O65">
    <cfRule type="expression" dxfId="75" priority="79">
      <formula>WEEKDAY(K64,11)&gt;5</formula>
    </cfRule>
  </conditionalFormatting>
  <conditionalFormatting sqref="K63:O63">
    <cfRule type="expression" dxfId="74" priority="78">
      <formula>WEEKDAY(K63,11)&gt;5</formula>
    </cfRule>
  </conditionalFormatting>
  <conditionalFormatting sqref="K63:O63">
    <cfRule type="expression" dxfId="73" priority="77">
      <formula>WEEKDAY(K63,11)&gt;5</formula>
    </cfRule>
  </conditionalFormatting>
  <conditionalFormatting sqref="K73:O74">
    <cfRule type="expression" dxfId="72" priority="76">
      <formula>WEEKDAY(K73,11)&gt;5</formula>
    </cfRule>
  </conditionalFormatting>
  <conditionalFormatting sqref="K73:O74">
    <cfRule type="expression" dxfId="71" priority="75">
      <formula>WEEKDAY(K73,11)&gt;5</formula>
    </cfRule>
  </conditionalFormatting>
  <conditionalFormatting sqref="K72:O72">
    <cfRule type="expression" dxfId="70" priority="74">
      <formula>WEEKDAY(K72,11)&gt;5</formula>
    </cfRule>
  </conditionalFormatting>
  <conditionalFormatting sqref="K72:O72">
    <cfRule type="expression" dxfId="69" priority="73">
      <formula>WEEKDAY(K72,11)&gt;5</formula>
    </cfRule>
  </conditionalFormatting>
  <conditionalFormatting sqref="C73:G74">
    <cfRule type="expression" dxfId="68" priority="72">
      <formula>WEEKDAY(C73,11)&gt;5</formula>
    </cfRule>
  </conditionalFormatting>
  <conditionalFormatting sqref="C73:G74">
    <cfRule type="expression" dxfId="67" priority="71">
      <formula>WEEKDAY(C73,11)&gt;5</formula>
    </cfRule>
  </conditionalFormatting>
  <conditionalFormatting sqref="C72:G72">
    <cfRule type="expression" dxfId="66" priority="70">
      <formula>WEEKDAY(C72,11)&gt;5</formula>
    </cfRule>
  </conditionalFormatting>
  <conditionalFormatting sqref="C72:G72">
    <cfRule type="expression" dxfId="65" priority="69">
      <formula>WEEKDAY(C72,11)&gt;5</formula>
    </cfRule>
  </conditionalFormatting>
  <conditionalFormatting sqref="C82:D83">
    <cfRule type="expression" dxfId="64" priority="68">
      <formula>WEEKDAY(C82,11)&gt;5</formula>
    </cfRule>
  </conditionalFormatting>
  <conditionalFormatting sqref="C82:D83">
    <cfRule type="expression" dxfId="63" priority="67">
      <formula>WEEKDAY(C82,11)&gt;5</formula>
    </cfRule>
  </conditionalFormatting>
  <conditionalFormatting sqref="C81:D81">
    <cfRule type="expression" dxfId="62" priority="66">
      <formula>WEEKDAY(C81,11)&gt;5</formula>
    </cfRule>
  </conditionalFormatting>
  <conditionalFormatting sqref="C81:D81">
    <cfRule type="expression" dxfId="61" priority="65">
      <formula>WEEKDAY(C81,11)&gt;5</formula>
    </cfRule>
  </conditionalFormatting>
  <conditionalFormatting sqref="E91:G92">
    <cfRule type="expression" dxfId="60" priority="64">
      <formula>WEEKDAY(E91,11)&gt;5</formula>
    </cfRule>
  </conditionalFormatting>
  <conditionalFormatting sqref="E91:G92">
    <cfRule type="expression" dxfId="59" priority="63">
      <formula>WEEKDAY(E91,11)&gt;5</formula>
    </cfRule>
  </conditionalFormatting>
  <conditionalFormatting sqref="E90:G90">
    <cfRule type="expression" dxfId="58" priority="62">
      <formula>WEEKDAY(E90,11)&gt;5</formula>
    </cfRule>
  </conditionalFormatting>
  <conditionalFormatting sqref="E90:G90">
    <cfRule type="expression" dxfId="57" priority="61">
      <formula>WEEKDAY(E90,11)&gt;5</formula>
    </cfRule>
  </conditionalFormatting>
  <conditionalFormatting sqref="K91:O92">
    <cfRule type="expression" dxfId="56" priority="60">
      <formula>WEEKDAY(K91,11)&gt;5</formula>
    </cfRule>
  </conditionalFormatting>
  <conditionalFormatting sqref="K91:O92">
    <cfRule type="expression" dxfId="55" priority="59">
      <formula>WEEKDAY(K91,11)&gt;5</formula>
    </cfRule>
  </conditionalFormatting>
  <conditionalFormatting sqref="K90:O90">
    <cfRule type="expression" dxfId="54" priority="58">
      <formula>WEEKDAY(K90,11)&gt;5</formula>
    </cfRule>
  </conditionalFormatting>
  <conditionalFormatting sqref="K90:O90">
    <cfRule type="expression" dxfId="53" priority="57">
      <formula>WEEKDAY(K90,11)&gt;5</formula>
    </cfRule>
  </conditionalFormatting>
  <conditionalFormatting sqref="C100:G101">
    <cfRule type="expression" dxfId="52" priority="56">
      <formula>WEEKDAY(C100,11)&gt;5</formula>
    </cfRule>
  </conditionalFormatting>
  <conditionalFormatting sqref="C100:G101">
    <cfRule type="expression" dxfId="51" priority="55">
      <formula>WEEKDAY(C100,11)&gt;5</formula>
    </cfRule>
  </conditionalFormatting>
  <conditionalFormatting sqref="C99:G99">
    <cfRule type="expression" dxfId="50" priority="54">
      <formula>WEEKDAY(C99,11)&gt;5</formula>
    </cfRule>
  </conditionalFormatting>
  <conditionalFormatting sqref="C99:G99">
    <cfRule type="expression" dxfId="49" priority="53">
      <formula>WEEKDAY(C99,11)&gt;5</formula>
    </cfRule>
  </conditionalFormatting>
  <conditionalFormatting sqref="K100:O101">
    <cfRule type="expression" dxfId="48" priority="52">
      <formula>WEEKDAY(K100,11)&gt;5</formula>
    </cfRule>
  </conditionalFormatting>
  <conditionalFormatting sqref="K100:O101">
    <cfRule type="expression" dxfId="47" priority="51">
      <formula>WEEKDAY(K100,11)&gt;5</formula>
    </cfRule>
  </conditionalFormatting>
  <conditionalFormatting sqref="K99:O99">
    <cfRule type="expression" dxfId="46" priority="50">
      <formula>WEEKDAY(K99,11)&gt;5</formula>
    </cfRule>
  </conditionalFormatting>
  <conditionalFormatting sqref="K99:O99">
    <cfRule type="expression" dxfId="45" priority="49">
      <formula>WEEKDAY(K99,11)&gt;5</formula>
    </cfRule>
  </conditionalFormatting>
  <conditionalFormatting sqref="C109:G110">
    <cfRule type="expression" dxfId="44" priority="48">
      <formula>WEEKDAY(C109,11)&gt;5</formula>
    </cfRule>
  </conditionalFormatting>
  <conditionalFormatting sqref="C109:G110">
    <cfRule type="expression" dxfId="43" priority="47">
      <formula>WEEKDAY(C109,11)&gt;5</formula>
    </cfRule>
  </conditionalFormatting>
  <conditionalFormatting sqref="C108:G108">
    <cfRule type="expression" dxfId="42" priority="46">
      <formula>WEEKDAY(C108,11)&gt;5</formula>
    </cfRule>
  </conditionalFormatting>
  <conditionalFormatting sqref="C108:G108">
    <cfRule type="expression" dxfId="41" priority="45">
      <formula>WEEKDAY(C108,11)&gt;5</formula>
    </cfRule>
  </conditionalFormatting>
  <conditionalFormatting sqref="H118:H119">
    <cfRule type="expression" dxfId="40" priority="44">
      <formula>WEEKDAY(H118,11)&gt;5</formula>
    </cfRule>
  </conditionalFormatting>
  <conditionalFormatting sqref="H118:H119">
    <cfRule type="expression" dxfId="39" priority="43">
      <formula>WEEKDAY(H118,11)&gt;5</formula>
    </cfRule>
  </conditionalFormatting>
  <conditionalFormatting sqref="H117">
    <cfRule type="expression" dxfId="38" priority="42">
      <formula>WEEKDAY(H117,11)&gt;5</formula>
    </cfRule>
  </conditionalFormatting>
  <conditionalFormatting sqref="H117">
    <cfRule type="expression" dxfId="37" priority="41">
      <formula>WEEKDAY(H117,11)&gt;5</formula>
    </cfRule>
  </conditionalFormatting>
  <conditionalFormatting sqref="M118:O119">
    <cfRule type="expression" dxfId="36" priority="40">
      <formula>WEEKDAY(M118,11)&gt;5</formula>
    </cfRule>
  </conditionalFormatting>
  <conditionalFormatting sqref="M118:O119">
    <cfRule type="expression" dxfId="35" priority="39">
      <formula>WEEKDAY(M118,11)&gt;5</formula>
    </cfRule>
  </conditionalFormatting>
  <conditionalFormatting sqref="M117:O117">
    <cfRule type="expression" dxfId="34" priority="38">
      <formula>WEEKDAY(M117,11)&gt;5</formula>
    </cfRule>
  </conditionalFormatting>
  <conditionalFormatting sqref="M117:O117">
    <cfRule type="expression" dxfId="33" priority="37">
      <formula>WEEKDAY(M117,11)&gt;5</formula>
    </cfRule>
  </conditionalFormatting>
  <conditionalFormatting sqref="C127:G128">
    <cfRule type="expression" dxfId="32" priority="36">
      <formula>WEEKDAY(C127,11)&gt;5</formula>
    </cfRule>
  </conditionalFormatting>
  <conditionalFormatting sqref="C127:G128">
    <cfRule type="expression" dxfId="31" priority="35">
      <formula>WEEKDAY(C127,11)&gt;5</formula>
    </cfRule>
  </conditionalFormatting>
  <conditionalFormatting sqref="C126:G126">
    <cfRule type="expression" dxfId="30" priority="34">
      <formula>WEEKDAY(C126,11)&gt;5</formula>
    </cfRule>
  </conditionalFormatting>
  <conditionalFormatting sqref="C126:G126">
    <cfRule type="expression" dxfId="29" priority="33">
      <formula>WEEKDAY(C126,11)&gt;5</formula>
    </cfRule>
  </conditionalFormatting>
  <conditionalFormatting sqref="K127:O128">
    <cfRule type="expression" dxfId="28" priority="32">
      <formula>WEEKDAY(K127,11)&gt;5</formula>
    </cfRule>
  </conditionalFormatting>
  <conditionalFormatting sqref="K127:O128">
    <cfRule type="expression" dxfId="27" priority="31">
      <formula>WEEKDAY(K127,11)&gt;5</formula>
    </cfRule>
  </conditionalFormatting>
  <conditionalFormatting sqref="K126:O126">
    <cfRule type="expression" dxfId="26" priority="30">
      <formula>WEEKDAY(K126,11)&gt;5</formula>
    </cfRule>
  </conditionalFormatting>
  <conditionalFormatting sqref="K126:O126">
    <cfRule type="expression" dxfId="25" priority="29">
      <formula>WEEKDAY(K126,11)&gt;5</formula>
    </cfRule>
  </conditionalFormatting>
  <conditionalFormatting sqref="C136:G137">
    <cfRule type="expression" dxfId="24" priority="28">
      <formula>WEEKDAY(C136,11)&gt;5</formula>
    </cfRule>
  </conditionalFormatting>
  <conditionalFormatting sqref="C136:G137">
    <cfRule type="expression" dxfId="23" priority="27">
      <formula>WEEKDAY(C136,11)&gt;5</formula>
    </cfRule>
  </conditionalFormatting>
  <conditionalFormatting sqref="C135:G135">
    <cfRule type="expression" dxfId="22" priority="26">
      <formula>WEEKDAY(C135,11)&gt;5</formula>
    </cfRule>
  </conditionalFormatting>
  <conditionalFormatting sqref="C135:G135">
    <cfRule type="expression" dxfId="21" priority="25">
      <formula>WEEKDAY(C135,11)&gt;5</formula>
    </cfRule>
  </conditionalFormatting>
  <conditionalFormatting sqref="C145:G146">
    <cfRule type="expression" dxfId="20" priority="24">
      <formula>WEEKDAY(C145,11)&gt;5</formula>
    </cfRule>
  </conditionalFormatting>
  <conditionalFormatting sqref="C145:G146">
    <cfRule type="expression" dxfId="19" priority="23">
      <formula>WEEKDAY(C145,11)&gt;5</formula>
    </cfRule>
  </conditionalFormatting>
  <conditionalFormatting sqref="C144:G144">
    <cfRule type="expression" dxfId="18" priority="22">
      <formula>WEEKDAY(C144,11)&gt;5</formula>
    </cfRule>
  </conditionalFormatting>
  <conditionalFormatting sqref="C144:G144">
    <cfRule type="expression" dxfId="17" priority="21">
      <formula>WEEKDAY(C144,11)&gt;5</formula>
    </cfRule>
  </conditionalFormatting>
  <conditionalFormatting sqref="K145:O146">
    <cfRule type="expression" dxfId="16" priority="20">
      <formula>WEEKDAY(K145,11)&gt;5</formula>
    </cfRule>
  </conditionalFormatting>
  <conditionalFormatting sqref="K145:O146">
    <cfRule type="expression" dxfId="15" priority="19">
      <formula>WEEKDAY(K145,11)&gt;5</formula>
    </cfRule>
  </conditionalFormatting>
  <conditionalFormatting sqref="K144:O144">
    <cfRule type="expression" dxfId="14" priority="18">
      <formula>WEEKDAY(K144,11)&gt;5</formula>
    </cfRule>
  </conditionalFormatting>
  <conditionalFormatting sqref="K144:O144">
    <cfRule type="expression" dxfId="13" priority="17">
      <formula>WEEKDAY(K144,11)&gt;5</formula>
    </cfRule>
  </conditionalFormatting>
  <conditionalFormatting sqref="C154:G155">
    <cfRule type="expression" dxfId="12" priority="16">
      <formula>WEEKDAY(C154,11)&gt;5</formula>
    </cfRule>
  </conditionalFormatting>
  <conditionalFormatting sqref="C154:G155">
    <cfRule type="expression" dxfId="11" priority="15">
      <formula>WEEKDAY(C154,11)&gt;5</formula>
    </cfRule>
  </conditionalFormatting>
  <conditionalFormatting sqref="C153:G153">
    <cfRule type="expression" dxfId="10" priority="14">
      <formula>WEEKDAY(C153,11)&gt;5</formula>
    </cfRule>
  </conditionalFormatting>
  <conditionalFormatting sqref="C153:G153">
    <cfRule type="expression" dxfId="9" priority="13">
      <formula>WEEKDAY(C153,11)&gt;5</formula>
    </cfRule>
  </conditionalFormatting>
  <conditionalFormatting sqref="K154:O155">
    <cfRule type="expression" dxfId="8" priority="8">
      <formula>WEEKDAY(K154,11)&gt;5</formula>
    </cfRule>
  </conditionalFormatting>
  <conditionalFormatting sqref="K154:O155">
    <cfRule type="expression" dxfId="7" priority="7">
      <formula>WEEKDAY(K154,11)&gt;5</formula>
    </cfRule>
  </conditionalFormatting>
  <conditionalFormatting sqref="K153:O153">
    <cfRule type="expression" dxfId="6" priority="6">
      <formula>WEEKDAY(K153,11)&gt;5</formula>
    </cfRule>
  </conditionalFormatting>
  <conditionalFormatting sqref="K153:O153">
    <cfRule type="expression" dxfId="5" priority="5">
      <formula>WEEKDAY(K153,11)&gt;5</formula>
    </cfRule>
  </conditionalFormatting>
  <conditionalFormatting sqref="C163:D164">
    <cfRule type="expression" dxfId="4" priority="4">
      <formula>WEEKDAY(C163,11)&gt;5</formula>
    </cfRule>
  </conditionalFormatting>
  <conditionalFormatting sqref="C163:D164">
    <cfRule type="expression" dxfId="3" priority="3">
      <formula>WEEKDAY(C163,11)&gt;5</formula>
    </cfRule>
  </conditionalFormatting>
  <conditionalFormatting sqref="C162:D162">
    <cfRule type="expression" dxfId="2" priority="2">
      <formula>WEEKDAY(C162,11)&gt;5</formula>
    </cfRule>
  </conditionalFormatting>
  <conditionalFormatting sqref="C162:D162">
    <cfRule type="expression" dxfId="1" priority="1">
      <formula>WEEKDAY(C162,11)&gt;5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23A4-51E3-49A4-9829-6CC1245FED09}">
  <dimension ref="A1:AN190"/>
  <sheetViews>
    <sheetView workbookViewId="0">
      <pane ySplit="2" topLeftCell="A3" activePane="bottomLeft" state="frozen"/>
      <selection pane="bottomLeft" activeCell="O2" sqref="O2"/>
    </sheetView>
  </sheetViews>
  <sheetFormatPr defaultRowHeight="15" x14ac:dyDescent="0.25"/>
  <cols>
    <col min="1" max="1" width="13.5703125" customWidth="1"/>
    <col min="3" max="3" width="10.140625" bestFit="1" customWidth="1"/>
    <col min="6" max="6" width="16.85546875" bestFit="1" customWidth="1"/>
    <col min="7" max="7" width="13.5703125" style="327" bestFit="1" customWidth="1"/>
    <col min="8" max="8" width="13.5703125" bestFit="1" customWidth="1"/>
    <col min="9" max="9" width="12.140625" bestFit="1" customWidth="1"/>
    <col min="10" max="10" width="12.28515625" bestFit="1" customWidth="1"/>
    <col min="11" max="11" width="14.42578125" style="9" bestFit="1" customWidth="1"/>
    <col min="12" max="17" width="14.42578125" style="9" customWidth="1"/>
    <col min="18" max="18" width="5.28515625" style="9" customWidth="1"/>
    <col min="19" max="19" width="11.85546875" style="397" customWidth="1"/>
    <col min="20" max="20" width="13.42578125" style="436" customWidth="1"/>
    <col min="21" max="21" width="14.42578125" style="435" customWidth="1"/>
    <col min="22" max="22" width="14.42578125" style="437" customWidth="1"/>
    <col min="23" max="23" width="9.28515625" style="437" bestFit="1" customWidth="1"/>
    <col min="24" max="24" width="22.140625" style="435" bestFit="1" customWidth="1"/>
    <col min="25" max="25" width="16" style="435" bestFit="1" customWidth="1"/>
    <col min="26" max="26" width="8.28515625" style="435" bestFit="1" customWidth="1"/>
    <col min="27" max="33" width="9.28515625" style="435" bestFit="1" customWidth="1"/>
    <col min="34" max="36" width="10.28515625" style="435" bestFit="1" customWidth="1"/>
    <col min="37" max="39" width="9.28515625" style="435" bestFit="1" customWidth="1"/>
    <col min="40" max="40" width="9.140625" style="396"/>
  </cols>
  <sheetData>
    <row r="1" spans="1:39" ht="19.5" thickBot="1" x14ac:dyDescent="0.35">
      <c r="L1" s="502" t="s">
        <v>122</v>
      </c>
      <c r="M1" s="503"/>
      <c r="N1" s="503"/>
      <c r="O1" s="503"/>
      <c r="P1" s="503"/>
      <c r="Q1" s="504"/>
      <c r="T1" s="433">
        <v>1.1574074074074073E-5</v>
      </c>
      <c r="U1" s="433">
        <v>0</v>
      </c>
      <c r="V1" s="434">
        <v>2.0833333333333332E-2</v>
      </c>
      <c r="W1" s="434">
        <v>3.125E-2</v>
      </c>
    </row>
    <row r="2" spans="1:39" ht="19.5" thickBot="1" x14ac:dyDescent="0.35">
      <c r="A2" s="329"/>
      <c r="B2" s="381"/>
      <c r="C2" s="381"/>
      <c r="F2" s="365" t="s">
        <v>121</v>
      </c>
      <c r="G2" s="366" t="s">
        <v>139</v>
      </c>
      <c r="H2" s="366" t="s">
        <v>140</v>
      </c>
      <c r="I2" s="366" t="s">
        <v>3</v>
      </c>
      <c r="J2" s="367" t="s">
        <v>4</v>
      </c>
      <c r="L2" s="343" t="s">
        <v>10</v>
      </c>
      <c r="M2" s="344">
        <v>0.4375</v>
      </c>
      <c r="N2" s="345" t="s">
        <v>123</v>
      </c>
      <c r="O2" s="344">
        <v>0.71875</v>
      </c>
      <c r="P2" s="346" t="s">
        <v>124</v>
      </c>
      <c r="Q2" s="347">
        <f>O2-M2</f>
        <v>0.28125</v>
      </c>
      <c r="U2" s="433">
        <v>0.16666666666666666</v>
      </c>
      <c r="V2" s="434">
        <v>0.25</v>
      </c>
      <c r="W2" s="434">
        <v>0.33333333333333331</v>
      </c>
      <c r="X2" s="433">
        <v>0.29166666666666669</v>
      </c>
    </row>
    <row r="3" spans="1:39" ht="18.75" x14ac:dyDescent="0.25">
      <c r="A3" s="329"/>
      <c r="B3" s="382"/>
      <c r="C3" s="383"/>
    </row>
    <row r="4" spans="1:39" ht="15.75" thickBot="1" x14ac:dyDescent="0.3"/>
    <row r="5" spans="1:39" ht="15.75" thickBot="1" x14ac:dyDescent="0.3">
      <c r="A5" t="s">
        <v>119</v>
      </c>
      <c r="B5" t="s">
        <v>120</v>
      </c>
      <c r="C5" t="s">
        <v>121</v>
      </c>
      <c r="D5" t="s">
        <v>145</v>
      </c>
      <c r="F5" s="365" t="s">
        <v>121</v>
      </c>
      <c r="G5" s="366" t="s">
        <v>139</v>
      </c>
      <c r="H5" s="366" t="s">
        <v>140</v>
      </c>
      <c r="I5" s="366" t="s">
        <v>3</v>
      </c>
      <c r="J5" s="367" t="s">
        <v>4</v>
      </c>
      <c r="T5" s="436" t="s">
        <v>143</v>
      </c>
      <c r="U5" s="437" t="s">
        <v>142</v>
      </c>
      <c r="V5" s="437" t="s">
        <v>141</v>
      </c>
      <c r="X5" s="435" t="s">
        <v>125</v>
      </c>
      <c r="Y5" s="435" t="s">
        <v>126</v>
      </c>
      <c r="Z5" s="501" t="s">
        <v>144</v>
      </c>
      <c r="AA5" s="501"/>
      <c r="AB5" s="435" t="s">
        <v>127</v>
      </c>
      <c r="AC5" s="435" t="s">
        <v>128</v>
      </c>
      <c r="AD5" s="435" t="s">
        <v>129</v>
      </c>
      <c r="AE5" s="435" t="s">
        <v>130</v>
      </c>
      <c r="AF5" s="435" t="s">
        <v>131</v>
      </c>
      <c r="AG5" s="435" t="s">
        <v>132</v>
      </c>
      <c r="AH5" s="435" t="s">
        <v>133</v>
      </c>
      <c r="AI5" s="435" t="s">
        <v>134</v>
      </c>
      <c r="AJ5" s="435" t="s">
        <v>135</v>
      </c>
      <c r="AK5" s="435" t="s">
        <v>136</v>
      </c>
      <c r="AL5" s="435" t="s">
        <v>137</v>
      </c>
      <c r="AM5" s="435" t="s">
        <v>138</v>
      </c>
    </row>
    <row r="6" spans="1:39" ht="15.75" thickBot="1" x14ac:dyDescent="0.3">
      <c r="A6" s="428"/>
      <c r="B6" s="429"/>
      <c r="C6" s="430"/>
      <c r="F6" s="446">
        <v>44377</v>
      </c>
      <c r="G6" s="441">
        <f t="shared" ref="G6:G37" si="0">F6</f>
        <v>44377</v>
      </c>
      <c r="H6" s="442">
        <f t="shared" ref="H6" si="1">X6</f>
        <v>0</v>
      </c>
      <c r="I6" s="442">
        <f ca="1">IFERROR(H6+T6+OFFSET($L$7,MATCH(F6,$K$8:$K$371,0),0)-$W$2,H6-$W$2)</f>
        <v>-0.33333333333333331</v>
      </c>
      <c r="J6" s="443">
        <f ca="1">I6</f>
        <v>-0.33333333333333331</v>
      </c>
      <c r="K6" s="505" t="s">
        <v>16</v>
      </c>
      <c r="L6" s="506"/>
      <c r="T6" s="438">
        <f>IF(AND(X6&lt;$V$2,X6&gt;$U$2),U6,IF(X6&gt;$V$2,V6,$T$1))</f>
        <v>1.1574074074074073E-5</v>
      </c>
      <c r="U6" s="439" t="b">
        <f>IF(AND(X6&lt;$V$2,X6&gt;$U$2),IF(Y6&lt;$V$1,$V$1,$T$1))</f>
        <v>0</v>
      </c>
      <c r="V6" s="440" t="b">
        <f>IF(X6&gt;$V$2,IF(Y6&lt;$W$1,$W$1,$T$1))</f>
        <v>0</v>
      </c>
      <c r="W6" s="437">
        <f t="shared" ref="W6:W37" si="2">(COUNTIF($C$6:$C$9999,F6))</f>
        <v>0</v>
      </c>
      <c r="X6" s="439">
        <f t="shared" ref="X6" si="3">IF(W6=12,AB6,IF(W6=10,AC6,IF(W6=8,AD6,IF(W6=6,AE6,IF(W6=4,AF6,IF(W6=2,AG6,$U$1))))))</f>
        <v>0</v>
      </c>
      <c r="Y6" s="439">
        <f t="shared" ref="Y6" si="4">IF(W6=12,AH6,IF(W6=10,AI6,IF(W6=8,AJ6,IF(W6=6,AK6,IF(W6=4,AL6,IF(W6=2,AM6,$U$1))))))</f>
        <v>0</v>
      </c>
      <c r="Z6" s="439">
        <f>X6+Y6</f>
        <v>0</v>
      </c>
      <c r="AA6" s="439" t="e">
        <f ca="1">(OFFSET($B$5,SUM($W$6:$W6),)-OFFSET($B$5,(SUM($W$6:$W6)-SUM($W$6:$W6)+1),))</f>
        <v>#VALUE!</v>
      </c>
      <c r="AB6" s="439" t="e">
        <f ca="1">(OFFSET($B$5,SUM($W$6:$W6),)-OFFSET($B$5,SUM($W$6:$W6)-1,))+(OFFSET($B$5,SUM($W$6:$W6)-2,)-OFFSET($B$5,SUM($W$6:$W6)-3,))+(OFFSET($B$5,SUM($W$6:$W6)-4,)-OFFSET($B$5,SUM($W$6:$W6)-5,))+(OFFSET($B$5,SUM($W$6:$W6)-6,)-OFFSET($B$5,SUM($W$6:$W6)-7,))+(OFFSET($B$5,SUM($W$6:$W6)-8,)-OFFSET($B$5,SUM($W$6:$W6)-9,))+(OFFSET($B$5,SUM($W$6:$W6)-10,)-OFFSET($B$5,SUM($W$6:$W6)-11,))</f>
        <v>#VALUE!</v>
      </c>
      <c r="AC6" s="439" t="e">
        <f ca="1">(OFFSET($B$5,SUM($W$6:$W6),)-OFFSET($B$5,SUM($W$6:$W6)-1,))+(OFFSET($B$5,SUM($W$6:$W6)-2,)-OFFSET($B$5,SUM($W$6:$W6)-3,))+(OFFSET($B$5,SUM($W$6:$W6)-4,)-OFFSET($B$5,SUM($W$6:$W6)-5,))+(OFFSET($B$5,SUM($W$6:$W6)-6,)-OFFSET($B$5,SUM($W$6:$W6)-7,))+(OFFSET($B$5,SUM($W$6:$W6)-8,)-OFFSET($B$5,SUM($W$6:$W6)-9,))</f>
        <v>#VALUE!</v>
      </c>
      <c r="AD6" s="439" t="e">
        <f ca="1">(OFFSET($B$5,SUM($W$6:$W6),)-OFFSET($B$5,SUM($W$6:$W6)-1,))+(OFFSET($B$5,SUM($W$6:$W6)-2,)-OFFSET($B$5,SUM($W$6:$W6)-3,))+(OFFSET($B$5,SUM($W$6:$W6)-4,)-OFFSET($B$5,SUM($W$6:$W6)-5,))+(OFFSET($B$5,SUM($W$6:$W6)-6,)-OFFSET($B$5,SUM($W$6:$W6)-7,))</f>
        <v>#VALUE!</v>
      </c>
      <c r="AE6" s="439" t="e">
        <f ca="1">(OFFSET($B$5,SUM($W$6:$W6),)-OFFSET($B$5,SUM($W$6:$W6)-1,))+(OFFSET($B$5,SUM($W$6:$W6)-2,)-OFFSET($B$5,SUM($W$6:$W6)-3,))+(OFFSET($B$5,SUM($W$6:$W6)-4,)-OFFSET($B$5,SUM($W$6:$W6)-5,))</f>
        <v>#VALUE!</v>
      </c>
      <c r="AF6" s="439" t="e">
        <f ca="1">(OFFSET($B$5,SUM($W$6:$W6),)-OFFSET($B$5,SUM($W$6:$W6)-1,))+(OFFSET($B$5,SUM($W$6:$W6)-2,)-OFFSET($B$5,SUM($W$6:$W6)-3,))</f>
        <v>#VALUE!</v>
      </c>
      <c r="AG6" s="439" t="e">
        <f ca="1">(OFFSET($B$5,SUM($W$6:$W6),)-OFFSET($B$5,SUM($W$6:$W6)-1,))</f>
        <v>#VALUE!</v>
      </c>
      <c r="AH6" s="439" t="e">
        <f ca="1">(OFFSET($B$5,SUM($W$6:$W6)-1,)-OFFSET($B$5,SUM($W$6:$W6)-2,))+(OFFSET($B$5,SUM($W$6:$W6)-3,)-OFFSET($B$5,SUM($W$6:$W6)-4,))+(OFFSET($B$5,SUM($W$6:$W6)-5,)-OFFSET($B$5,SUM($W$6:$W6)-6,))+(OFFSET($B$5,SUM($W$6:$W6)-7,)-OFFSET($B$5,SUM($W$6:$W6)-8,))+(OFFSET($B$5,SUM($W$6:$W6)-9,)-OFFSET($B$5,SUM($W$6:$W6)-10,))</f>
        <v>#REF!</v>
      </c>
      <c r="AI6" s="439" t="e">
        <f ca="1">(OFFSET($B$5,SUM($W$6:$W6)-1,)-OFFSET($B$5,SUM($W$6:$W6)-2,))+(OFFSET($B$5,SUM($W$6:$W6)-3,)-OFFSET($B$5,SUM($W$6:$W6)-4,))+(OFFSET($B$5,SUM($W$6:$W6)-5,)-OFFSET($B$5,SUM($W$6:$W6)-6,))+(OFFSET($B$5,SUM($W$6:$W6)-7,)-OFFSET($B$5,SUM($W$6:$W6)-8,))</f>
        <v>#REF!</v>
      </c>
      <c r="AJ6" s="439" t="e">
        <f ca="1">(OFFSET($B$5,SUM($W$6:$W6)-1,)-OFFSET($B$5,SUM($W$6:$W6)-2,))+(OFFSET($B$5,SUM($W$6:$W6)-3,)-OFFSET($B$5,SUM($W$6:$W6)-4,))+(OFFSET($B$5,SUM($W$6:$W6)-5,)-OFFSET($B$5,SUM($W$6:$W6)-6,))</f>
        <v>#REF!</v>
      </c>
      <c r="AK6" s="439">
        <f ca="1">(OFFSET($B$5,SUM($W$6:$W6)-1,)-OFFSET($B$5,SUM($W$6:$W6)-2,))+(OFFSET($B$5,SUM($W$6:$W6)-3,)-OFFSET($B$5,SUM($W$6:$W6)-4,))</f>
        <v>0</v>
      </c>
      <c r="AL6" s="439">
        <f ca="1">(OFFSET($B$5,SUM($W$6:$W6)-1,)-OFFSET($B$5,SUM($W$6:$W6)-2,))</f>
        <v>0</v>
      </c>
      <c r="AM6" s="433">
        <v>0</v>
      </c>
    </row>
    <row r="7" spans="1:39" ht="15.75" thickBot="1" x14ac:dyDescent="0.3">
      <c r="A7" s="428"/>
      <c r="B7" s="429"/>
      <c r="C7" s="430"/>
      <c r="F7" s="368">
        <v>44378</v>
      </c>
      <c r="G7" s="410">
        <f t="shared" si="0"/>
        <v>44378</v>
      </c>
      <c r="H7" s="386">
        <f>X7</f>
        <v>0</v>
      </c>
      <c r="I7" s="386">
        <f t="shared" ref="I7:I9" ca="1" si="5">IFERROR(H7+T7+OFFSET($L$7,MATCH(F7,$K$8:$K$36,0),0)-$W$2,H7-$W$2)</f>
        <v>-0.33333333333333331</v>
      </c>
      <c r="J7" s="411">
        <f ca="1">I7+J6</f>
        <v>-0.66666666666666663</v>
      </c>
      <c r="K7" s="421" t="s">
        <v>14</v>
      </c>
      <c r="L7" s="422" t="s">
        <v>15</v>
      </c>
      <c r="T7" s="438">
        <f t="shared" ref="T7:T37" si="6">IF(AND(X7&lt;$V$2,X7&gt;$U$2),U7,IF(X7&gt;$V$2,V7,$U$1))</f>
        <v>0</v>
      </c>
      <c r="U7" s="439" t="b">
        <f t="shared" ref="U7:U37" si="7">IF(AND(X7&lt;$V$2,X7&gt;$U$2),IF(Y7&lt;$V$1,$V$1,$U$1))</f>
        <v>0</v>
      </c>
      <c r="V7" s="440" t="b">
        <f t="shared" ref="V7:V37" si="8">IF(X7&gt;$V$2,IF(Y7&lt;$W$1,$W$1,$U$1))</f>
        <v>0</v>
      </c>
      <c r="W7" s="437">
        <f t="shared" si="2"/>
        <v>0</v>
      </c>
      <c r="X7" s="439">
        <f t="shared" ref="X7:X70" si="9">IF(W7=12,AB7,IF(W7=10,AC7,IF(W7=8,AD7,IF(W7=6,AE7,IF(W7=4,AF7,IF(W7=2,AG7,$U$1))))))</f>
        <v>0</v>
      </c>
      <c r="Y7" s="439">
        <f t="shared" ref="Y7:Y70" si="10">IF(W7=12,AH7,IF(W7=10,AI7,IF(W7=8,AJ7,IF(W7=6,AK7,IF(W7=4,AL7,IF(W7=2,AM7,$U$1))))))</f>
        <v>0</v>
      </c>
      <c r="Z7" s="439">
        <f>X7+Y7</f>
        <v>0</v>
      </c>
      <c r="AA7" s="439" t="e">
        <f ca="1">(OFFSET($B$5,SUM($W$6:$W7),)-OFFSET($B$5,(SUM($W$6:$W7)-SUM($W7:$W7)+1),))</f>
        <v>#VALUE!</v>
      </c>
      <c r="AB7" s="439" t="e">
        <f ca="1">(OFFSET($B$5,SUM($W$6:$W7),)-OFFSET($B$5,SUM($W$6:$W7)-1,))+(OFFSET($B$5,SUM($W$6:$W7)-2,)-OFFSET($B$5,SUM($W$6:$W7)-3,))+(OFFSET($B$5,SUM($W$6:$W7)-4,)-OFFSET($B$5,SUM($W$6:$W7)-5,))+(OFFSET($B$5,SUM($W$6:$W7)-6,)-OFFSET($B$5,SUM($W$6:$W7)-7,))+(OFFSET($B$5,SUM($W$6:$W7)-8,)-OFFSET($B$5,SUM($W$6:$W7)-9,))+(OFFSET($B$5,SUM($W$6:$W7)-10,)-OFFSET($B$5,SUM($W$6:$W7)-11,))</f>
        <v>#VALUE!</v>
      </c>
      <c r="AC7" s="439" t="e">
        <f ca="1">(OFFSET($B$5,SUM($W$6:$W7),)-OFFSET($B$5,SUM($W$6:$W7)-1,))+(OFFSET($B$5,SUM($W$6:$W7)-2,)-OFFSET($B$5,SUM($W$6:$W7)-3,))+(OFFSET($B$5,SUM($W$6:$W7)-4,)-OFFSET($B$5,SUM($W$6:$W7)-5,))+(OFFSET($B$5,SUM($W$6:$W7)-6,)-OFFSET($B$5,SUM($W$6:$W7)-7,))+(OFFSET($B$5,SUM($W$6:$W7)-8,)-OFFSET($B$5,SUM($W$6:$W7)-9,))</f>
        <v>#VALUE!</v>
      </c>
      <c r="AD7" s="439" t="e">
        <f ca="1">(OFFSET($B$5,SUM($W$6:$W7),)-OFFSET($B$5,SUM($W$6:$W7)-1,))+(OFFSET($B$5,SUM($W$6:$W7)-2,)-OFFSET($B$5,SUM($W$6:$W7)-3,))+(OFFSET($B$5,SUM($W$6:$W7)-4,)-OFFSET($B$5,SUM($W$6:$W7)-5,))+(OFFSET($B$5,SUM($W$6:$W7)-6,)-OFFSET($B$5,SUM($W$6:$W7)-7,))</f>
        <v>#VALUE!</v>
      </c>
      <c r="AE7" s="439" t="e">
        <f ca="1">(OFFSET($B$5,SUM($W$6:$W7),)-OFFSET($B$5,SUM($W$6:$W7)-1,))+(OFFSET($B$5,SUM($W$6:$W7)-2,)-OFFSET($B$5,SUM($W$6:$W7)-3,))+(OFFSET($B$5,SUM($W$6:$W7)-4,)-OFFSET($B$5,SUM($W$6:$W7)-5,))</f>
        <v>#VALUE!</v>
      </c>
      <c r="AF7" s="439" t="e">
        <f ca="1">(OFFSET($B$5,SUM($W$6:$W7),)-OFFSET($B$5,SUM($W$6:$W7)-1,))+(OFFSET($B$5,SUM($W$6:$W7)-2,)-OFFSET($B$5,SUM($W$6:$W7)-3,))</f>
        <v>#VALUE!</v>
      </c>
      <c r="AG7" s="439" t="e">
        <f ca="1">(OFFSET($B$5,SUM($W$6:$W7),)-OFFSET($B$5,SUM($W$6:$W7)-1,))</f>
        <v>#VALUE!</v>
      </c>
      <c r="AH7" s="439" t="e">
        <f ca="1">(OFFSET($B$5,SUM($W$6:$W7)-1,)-OFFSET($B$5,SUM($W$6:$W7)-2,))+(OFFSET($B$5,SUM($W$6:$W7)-3,)-OFFSET($B$5,SUM($W$6:$W7)-4,))+(OFFSET($B$5,SUM($W$6:$W7)-5,)-OFFSET($B$5,SUM($W$6:$W7)-6,))+(OFFSET($B$5,SUM($W$6:$W7)-7,)-OFFSET($B$5,SUM($W$6:$W7)-8,))+(OFFSET($B$5,SUM($W$6:$W7)-9,)-OFFSET($B$5,SUM($W$6:$W7)-10,))</f>
        <v>#REF!</v>
      </c>
      <c r="AI7" s="439" t="e">
        <f ca="1">(OFFSET($B$5,SUM($W$6:$W7)-1,)-OFFSET($B$5,SUM($W$6:$W7)-2,))+(OFFSET($B$5,SUM($W$6:$W7)-3,)-OFFSET($B$5,SUM($W$6:$W7)-4,))+(OFFSET($B$5,SUM($W$6:$W7)-5,)-OFFSET($B$5,SUM($W$6:$W7)-6,))+(OFFSET($B$5,SUM($W$6:$W7)-7,)-OFFSET($B$5,SUM($W$6:$W7)-8,))</f>
        <v>#REF!</v>
      </c>
      <c r="AJ7" s="439" t="e">
        <f ca="1">(OFFSET($B$5,SUM($W$6:$W7)-1,)-OFFSET($B$5,SUM($W$6:$W7)-2,))+(OFFSET($B$5,SUM($W$6:$W7)-3,)-OFFSET($B$5,SUM($W$6:$W7)-4,))+(OFFSET($B$5,SUM($W$6:$W7)-5,)-OFFSET($B$5,SUM($W$6:$W7)-6,))</f>
        <v>#REF!</v>
      </c>
      <c r="AK7" s="439">
        <f ca="1">(OFFSET($B$5,SUM($W$6:$W7)-1,)-OFFSET($B$5,SUM($W$6:$W7)-2,))+(OFFSET($B$5,SUM($W$6:$W7)-3,)-OFFSET($B$5,SUM($W$6:$W7)-4,))</f>
        <v>0</v>
      </c>
      <c r="AL7" s="439">
        <f ca="1">(OFFSET($B$5,SUM($W$6:$W7)-1,)-OFFSET($B$5,SUM($W$6:$W7)-2,))</f>
        <v>0</v>
      </c>
      <c r="AM7" s="433">
        <v>4.1666666666666699E-2</v>
      </c>
    </row>
    <row r="8" spans="1:39" x14ac:dyDescent="0.25">
      <c r="A8" s="428"/>
      <c r="B8" s="429"/>
      <c r="C8" s="430"/>
      <c r="F8" s="368">
        <v>44379</v>
      </c>
      <c r="G8" s="410">
        <f t="shared" si="0"/>
        <v>44379</v>
      </c>
      <c r="H8" s="386">
        <f t="shared" ref="H8:H9" si="11">X8</f>
        <v>0</v>
      </c>
      <c r="I8" s="386">
        <f t="shared" ca="1" si="5"/>
        <v>-0.33333333333333331</v>
      </c>
      <c r="J8" s="411">
        <f t="shared" ref="J8:J9" ca="1" si="12">I8+J7</f>
        <v>-1</v>
      </c>
      <c r="K8" s="423"/>
      <c r="L8" s="424"/>
      <c r="T8" s="438">
        <f t="shared" si="6"/>
        <v>0</v>
      </c>
      <c r="U8" s="439" t="b">
        <f t="shared" si="7"/>
        <v>0</v>
      </c>
      <c r="V8" s="440" t="b">
        <f t="shared" si="8"/>
        <v>0</v>
      </c>
      <c r="W8" s="437">
        <f t="shared" si="2"/>
        <v>0</v>
      </c>
      <c r="X8" s="439">
        <f t="shared" si="9"/>
        <v>0</v>
      </c>
      <c r="Y8" s="439">
        <f t="shared" si="10"/>
        <v>0</v>
      </c>
      <c r="Z8" s="439">
        <f>X8+Y8</f>
        <v>0</v>
      </c>
      <c r="AA8" s="439" t="e">
        <f ca="1">(OFFSET($B$5,SUM($W$6:$W8),)-OFFSET($B$5,(SUM($W$6:$W8)-SUM($W8:$W8)+1),))</f>
        <v>#VALUE!</v>
      </c>
      <c r="AB8" s="439" t="e">
        <f ca="1">(OFFSET($B$5,SUM($W$6:$W8),)-OFFSET($B$5,SUM($W$6:$W8)-1,))+(OFFSET($B$5,SUM($W$6:$W8)-2,)-OFFSET($B$5,SUM($W$6:$W8)-3,))+(OFFSET($B$5,SUM($W$6:$W8)-4,)-OFFSET($B$5,SUM($W$6:$W8)-5,))+(OFFSET($B$5,SUM($W$6:$W8)-6,)-OFFSET($B$5,SUM($W$6:$W8)-7,))+(OFFSET($B$5,SUM($W$6:$W8)-8,)-OFFSET($B$5,SUM($W$6:$W8)-9,))+(OFFSET($B$5,SUM($W$6:$W8)-10,)-OFFSET($B$5,SUM($W$6:$W8)-11,))</f>
        <v>#VALUE!</v>
      </c>
      <c r="AC8" s="439" t="e">
        <f ca="1">(OFFSET($B$5,SUM($W$6:$W8),)-OFFSET($B$5,SUM($W$6:$W8)-1,))+(OFFSET($B$5,SUM($W$6:$W8)-2,)-OFFSET($B$5,SUM($W$6:$W8)-3,))+(OFFSET($B$5,SUM($W$6:$W8)-4,)-OFFSET($B$5,SUM($W$6:$W8)-5,))+(OFFSET($B$5,SUM($W$6:$W8)-6,)-OFFSET($B$5,SUM($W$6:$W8)-7,))+(OFFSET($B$5,SUM($W$6:$W8)-8,)-OFFSET($B$5,SUM($W$6:$W8)-9,))</f>
        <v>#VALUE!</v>
      </c>
      <c r="AD8" s="439" t="e">
        <f ca="1">(OFFSET($B$5,SUM($W$6:$W8),)-OFFSET($B$5,SUM($W$6:$W8)-1,))+(OFFSET($B$5,SUM($W$6:$W8)-2,)-OFFSET($B$5,SUM($W$6:$W8)-3,))+(OFFSET($B$5,SUM($W$6:$W8)-4,)-OFFSET($B$5,SUM($W$6:$W8)-5,))+(OFFSET($B$5,SUM($W$6:$W8)-6,)-OFFSET($B$5,SUM($W$6:$W8)-7,))</f>
        <v>#VALUE!</v>
      </c>
      <c r="AE8" s="439" t="e">
        <f ca="1">(OFFSET($B$5,SUM($W$6:$W8),)-OFFSET($B$5,SUM($W$6:$W8)-1,))+(OFFSET($B$5,SUM($W$6:$W8)-2,)-OFFSET($B$5,SUM($W$6:$W8)-3,))+(OFFSET($B$5,SUM($W$6:$W8)-4,)-OFFSET($B$5,SUM($W$6:$W8)-5,))</f>
        <v>#VALUE!</v>
      </c>
      <c r="AF8" s="439" t="e">
        <f ca="1">(OFFSET($B$5,SUM($W$6:$W8),)-OFFSET($B$5,SUM($W$6:$W8)-1,))+(OFFSET($B$5,SUM($W$6:$W8)-2,)-OFFSET($B$5,SUM($W$6:$W8)-3,))</f>
        <v>#VALUE!</v>
      </c>
      <c r="AG8" s="439" t="e">
        <f ca="1">(OFFSET($B$5,SUM($W$6:$W8),)-OFFSET($B$5,SUM($W$6:$W8)-1,))</f>
        <v>#VALUE!</v>
      </c>
      <c r="AH8" s="439" t="e">
        <f ca="1">(OFFSET($B$5,SUM($W$6:$W8)-1,)-OFFSET($B$5,SUM($W$6:$W8)-2,))+(OFFSET($B$5,SUM($W$6:$W8)-3,)-OFFSET($B$5,SUM($W$6:$W8)-4,))+(OFFSET($B$5,SUM($W$6:$W8)-5,)-OFFSET($B$5,SUM($W$6:$W8)-6,))+(OFFSET($B$5,SUM($W$6:$W8)-7,)-OFFSET($B$5,SUM($W$6:$W8)-8,))+(OFFSET($B$5,SUM($W$6:$W8)-9,)-OFFSET($B$5,SUM($W$6:$W8)-10,))</f>
        <v>#REF!</v>
      </c>
      <c r="AI8" s="439" t="e">
        <f ca="1">(OFFSET($B$5,SUM($W$6:$W8)-1,)-OFFSET($B$5,SUM($W$6:$W8)-2,))+(OFFSET($B$5,SUM($W$6:$W8)-3,)-OFFSET($B$5,SUM($W$6:$W8)-4,))+(OFFSET($B$5,SUM($W$6:$W8)-5,)-OFFSET($B$5,SUM($W$6:$W8)-6,))+(OFFSET($B$5,SUM($W$6:$W8)-7,)-OFFSET($B$5,SUM($W$6:$W8)-8,))</f>
        <v>#REF!</v>
      </c>
      <c r="AJ8" s="439" t="e">
        <f ca="1">(OFFSET($B$5,SUM($W$6:$W8)-1,)-OFFSET($B$5,SUM($W$6:$W8)-2,))+(OFFSET($B$5,SUM($W$6:$W8)-3,)-OFFSET($B$5,SUM($W$6:$W8)-4,))+(OFFSET($B$5,SUM($W$6:$W8)-5,)-OFFSET($B$5,SUM($W$6:$W8)-6,))</f>
        <v>#REF!</v>
      </c>
      <c r="AK8" s="439">
        <f ca="1">(OFFSET($B$5,SUM($W$6:$W8)-1,)-OFFSET($B$5,SUM($W$6:$W8)-2,))+(OFFSET($B$5,SUM($W$6:$W8)-3,)-OFFSET($B$5,SUM($W$6:$W8)-4,))</f>
        <v>0</v>
      </c>
      <c r="AL8" s="439">
        <f ca="1">(OFFSET($B$5,SUM($W$6:$W8)-1,)-OFFSET($B$5,SUM($W$6:$W8)-2,))</f>
        <v>0</v>
      </c>
      <c r="AM8" s="433">
        <v>8.3333333333333301E-2</v>
      </c>
    </row>
    <row r="9" spans="1:39" x14ac:dyDescent="0.25">
      <c r="A9" s="428"/>
      <c r="B9" s="429"/>
      <c r="C9" s="430"/>
      <c r="F9" s="368">
        <v>44380</v>
      </c>
      <c r="G9" s="410">
        <f t="shared" si="0"/>
        <v>44380</v>
      </c>
      <c r="H9" s="386">
        <f t="shared" si="11"/>
        <v>0</v>
      </c>
      <c r="I9" s="386">
        <f t="shared" ca="1" si="5"/>
        <v>-0.33333333333333331</v>
      </c>
      <c r="J9" s="411">
        <f t="shared" ca="1" si="12"/>
        <v>-1.3333333333333333</v>
      </c>
      <c r="K9" s="425"/>
      <c r="L9" s="59"/>
      <c r="T9" s="438">
        <f t="shared" si="6"/>
        <v>0</v>
      </c>
      <c r="U9" s="439" t="b">
        <f t="shared" si="7"/>
        <v>0</v>
      </c>
      <c r="V9" s="440" t="b">
        <f t="shared" si="8"/>
        <v>0</v>
      </c>
      <c r="W9" s="437">
        <f t="shared" si="2"/>
        <v>0</v>
      </c>
      <c r="X9" s="439">
        <f t="shared" si="9"/>
        <v>0</v>
      </c>
      <c r="Y9" s="439">
        <f t="shared" si="10"/>
        <v>0</v>
      </c>
      <c r="Z9" s="439">
        <f>X9+Y9</f>
        <v>0</v>
      </c>
      <c r="AA9" s="439" t="e">
        <f ca="1">(OFFSET($B$5,SUM($W$6:$W9),)-OFFSET($B$5,(SUM($W$6:$W9)-SUM($W9:$W9)+1),))</f>
        <v>#VALUE!</v>
      </c>
      <c r="AB9" s="439" t="e">
        <f ca="1">(OFFSET($B$5,SUM($W$6:$W9),)-OFFSET($B$5,SUM($W$6:$W9)-1,))+(OFFSET($B$5,SUM($W$6:$W9)-2,)-OFFSET($B$5,SUM($W$6:$W9)-3,))+(OFFSET($B$5,SUM($W$6:$W9)-4,)-OFFSET($B$5,SUM($W$6:$W9)-5,))+(OFFSET($B$5,SUM($W$6:$W9)-6,)-OFFSET($B$5,SUM($W$6:$W9)-7,))+(OFFSET($B$5,SUM($W$6:$W9)-8,)-OFFSET($B$5,SUM($W$6:$W9)-9,))+(OFFSET($B$5,SUM($W$6:$W9)-10,)-OFFSET($B$5,SUM($W$6:$W9)-11,))</f>
        <v>#VALUE!</v>
      </c>
      <c r="AC9" s="439" t="e">
        <f ca="1">(OFFSET($B$5,SUM($W$6:$W9),)-OFFSET($B$5,SUM($W$6:$W9)-1,))+(OFFSET($B$5,SUM($W$6:$W9)-2,)-OFFSET($B$5,SUM($W$6:$W9)-3,))+(OFFSET($B$5,SUM($W$6:$W9)-4,)-OFFSET($B$5,SUM($W$6:$W9)-5,))+(OFFSET($B$5,SUM($W$6:$W9)-6,)-OFFSET($B$5,SUM($W$6:$W9)-7,))+(OFFSET($B$5,SUM($W$6:$W9)-8,)-OFFSET($B$5,SUM($W$6:$W9)-9,))</f>
        <v>#VALUE!</v>
      </c>
      <c r="AD9" s="439" t="e">
        <f ca="1">(OFFSET($B$5,SUM($W$6:$W9),)-OFFSET($B$5,SUM($W$6:$W9)-1,))+(OFFSET($B$5,SUM($W$6:$W9)-2,)-OFFSET($B$5,SUM($W$6:$W9)-3,))+(OFFSET($B$5,SUM($W$6:$W9)-4,)-OFFSET($B$5,SUM($W$6:$W9)-5,))+(OFFSET($B$5,SUM($W$6:$W9)-6,)-OFFSET($B$5,SUM($W$6:$W9)-7,))</f>
        <v>#VALUE!</v>
      </c>
      <c r="AE9" s="439" t="e">
        <f ca="1">(OFFSET($B$5,SUM($W$6:$W9),)-OFFSET($B$5,SUM($W$6:$W9)-1,))+(OFFSET($B$5,SUM($W$6:$W9)-2,)-OFFSET($B$5,SUM($W$6:$W9)-3,))+(OFFSET($B$5,SUM($W$6:$W9)-4,)-OFFSET($B$5,SUM($W$6:$W9)-5,))</f>
        <v>#VALUE!</v>
      </c>
      <c r="AF9" s="439" t="e">
        <f ca="1">(OFFSET($B$5,SUM($W$6:$W9),)-OFFSET($B$5,SUM($W$6:$W9)-1,))+(OFFSET($B$5,SUM($W$6:$W9)-2,)-OFFSET($B$5,SUM($W$6:$W9)-3,))</f>
        <v>#VALUE!</v>
      </c>
      <c r="AG9" s="439" t="e">
        <f ca="1">(OFFSET($B$5,SUM($W$6:$W9),)-OFFSET($B$5,SUM($W$6:$W9)-1,))</f>
        <v>#VALUE!</v>
      </c>
      <c r="AH9" s="439" t="e">
        <f ca="1">(OFFSET($B$5,SUM($W$6:$W9)-1,)-OFFSET($B$5,SUM($W$6:$W9)-2,))+(OFFSET($B$5,SUM($W$6:$W9)-3,)-OFFSET($B$5,SUM($W$6:$W9)-4,))+(OFFSET($B$5,SUM($W$6:$W9)-5,)-OFFSET($B$5,SUM($W$6:$W9)-6,))+(OFFSET($B$5,SUM($W$6:$W9)-7,)-OFFSET($B$5,SUM($W$6:$W9)-8,))+(OFFSET($B$5,SUM($W$6:$W9)-9,)-OFFSET($B$5,SUM($W$6:$W9)-10,))</f>
        <v>#REF!</v>
      </c>
      <c r="AI9" s="439" t="e">
        <f ca="1">(OFFSET($B$5,SUM($W$6:$W9)-1,)-OFFSET($B$5,SUM($W$6:$W9)-2,))+(OFFSET($B$5,SUM($W$6:$W9)-3,)-OFFSET($B$5,SUM($W$6:$W9)-4,))+(OFFSET($B$5,SUM($W$6:$W9)-5,)-OFFSET($B$5,SUM($W$6:$W9)-6,))+(OFFSET($B$5,SUM($W$6:$W9)-7,)-OFFSET($B$5,SUM($W$6:$W9)-8,))</f>
        <v>#REF!</v>
      </c>
      <c r="AJ9" s="439" t="e">
        <f ca="1">(OFFSET($B$5,SUM($W$6:$W9)-1,)-OFFSET($B$5,SUM($W$6:$W9)-2,))+(OFFSET($B$5,SUM($W$6:$W9)-3,)-OFFSET($B$5,SUM($W$6:$W9)-4,))+(OFFSET($B$5,SUM($W$6:$W9)-5,)-OFFSET($B$5,SUM($W$6:$W9)-6,))</f>
        <v>#REF!</v>
      </c>
      <c r="AK9" s="439">
        <f ca="1">(OFFSET($B$5,SUM($W$6:$W9)-1,)-OFFSET($B$5,SUM($W$6:$W9)-2,))+(OFFSET($B$5,SUM($W$6:$W9)-3,)-OFFSET($B$5,SUM($W$6:$W9)-4,))</f>
        <v>0</v>
      </c>
      <c r="AL9" s="439">
        <f ca="1">(OFFSET($B$5,SUM($W$6:$W9)-1,)-OFFSET($B$5,SUM($W$6:$W9)-2,))</f>
        <v>0</v>
      </c>
      <c r="AM9" s="433">
        <v>0.125</v>
      </c>
    </row>
    <row r="10" spans="1:39" x14ac:dyDescent="0.25">
      <c r="A10" s="428"/>
      <c r="B10" s="429"/>
      <c r="C10" s="430"/>
      <c r="F10" s="368">
        <v>44381</v>
      </c>
      <c r="G10" s="412">
        <f t="shared" si="0"/>
        <v>44381</v>
      </c>
      <c r="H10" s="389"/>
      <c r="I10" s="389"/>
      <c r="J10" s="390"/>
      <c r="K10" s="425"/>
      <c r="L10" s="59"/>
      <c r="T10" s="438">
        <f t="shared" si="6"/>
        <v>0</v>
      </c>
      <c r="U10" s="439" t="b">
        <f t="shared" si="7"/>
        <v>0</v>
      </c>
      <c r="V10" s="440" t="b">
        <f t="shared" si="8"/>
        <v>0</v>
      </c>
      <c r="W10" s="437">
        <f t="shared" si="2"/>
        <v>0</v>
      </c>
      <c r="X10" s="439">
        <f t="shared" si="9"/>
        <v>0</v>
      </c>
      <c r="Y10" s="439">
        <f t="shared" si="10"/>
        <v>0</v>
      </c>
      <c r="Z10" s="439">
        <f t="shared" ref="Z10:Z36" si="13">X10+Y10</f>
        <v>0</v>
      </c>
      <c r="AA10" s="439" t="e">
        <f ca="1">(OFFSET($B$5,SUM($W$6:$W10),)-OFFSET($B$5,(SUM($W$6:$W10)-SUM($W10:$W10)+1),))</f>
        <v>#VALUE!</v>
      </c>
      <c r="AB10" s="439" t="e">
        <f ca="1">(OFFSET($B$5,SUM($W$6:$W10),)-OFFSET($B$5,SUM($W$6:$W10)-1,))+(OFFSET($B$5,SUM($W$6:$W10)-2,)-OFFSET($B$5,SUM($W$6:$W10)-3,))+(OFFSET($B$5,SUM($W$6:$W10)-4,)-OFFSET($B$5,SUM($W$6:$W10)-5,))+(OFFSET($B$5,SUM($W$6:$W10)-6,)-OFFSET($B$5,SUM($W$6:$W10)-7,))+(OFFSET($B$5,SUM($W$6:$W10)-8,)-OFFSET($B$5,SUM($W$6:$W10)-9,))+(OFFSET($B$5,SUM($W$6:$W10)-10,)-OFFSET($B$5,SUM($W$6:$W10)-11,))</f>
        <v>#VALUE!</v>
      </c>
      <c r="AC10" s="439" t="e">
        <f ca="1">(OFFSET($B$5,SUM($W$6:$W10),)-OFFSET($B$5,SUM($W$6:$W10)-1,))+(OFFSET($B$5,SUM($W$6:$W10)-2,)-OFFSET($B$5,SUM($W$6:$W10)-3,))+(OFFSET($B$5,SUM($W$6:$W10)-4,)-OFFSET($B$5,SUM($W$6:$W10)-5,))+(OFFSET($B$5,SUM($W$6:$W10)-6,)-OFFSET($B$5,SUM($W$6:$W10)-7,))+(OFFSET($B$5,SUM($W$6:$W10)-8,)-OFFSET($B$5,SUM($W$6:$W10)-9,))</f>
        <v>#VALUE!</v>
      </c>
      <c r="AD10" s="439" t="e">
        <f ca="1">(OFFSET($B$5,SUM($W$6:$W10),)-OFFSET($B$5,SUM($W$6:$W10)-1,))+(OFFSET($B$5,SUM($W$6:$W10)-2,)-OFFSET($B$5,SUM($W$6:$W10)-3,))+(OFFSET($B$5,SUM($W$6:$W10)-4,)-OFFSET($B$5,SUM($W$6:$W10)-5,))+(OFFSET($B$5,SUM($W$6:$W10)-6,)-OFFSET($B$5,SUM($W$6:$W10)-7,))</f>
        <v>#VALUE!</v>
      </c>
      <c r="AE10" s="439" t="e">
        <f ca="1">(OFFSET($B$5,SUM($W$6:$W10),)-OFFSET($B$5,SUM($W$6:$W10)-1,))+(OFFSET($B$5,SUM($W$6:$W10)-2,)-OFFSET($B$5,SUM($W$6:$W10)-3,))+(OFFSET($B$5,SUM($W$6:$W10)-4,)-OFFSET($B$5,SUM($W$6:$W10)-5,))</f>
        <v>#VALUE!</v>
      </c>
      <c r="AF10" s="439" t="e">
        <f ca="1">(OFFSET($B$5,SUM($W$6:$W10),)-OFFSET($B$5,SUM($W$6:$W10)-1,))+(OFFSET($B$5,SUM($W$6:$W10)-2,)-OFFSET($B$5,SUM($W$6:$W10)-3,))</f>
        <v>#VALUE!</v>
      </c>
      <c r="AG10" s="439" t="e">
        <f ca="1">(OFFSET($B$5,SUM($W$6:$W10),)-OFFSET($B$5,SUM($W$6:$W10)-1,))</f>
        <v>#VALUE!</v>
      </c>
      <c r="AH10" s="439" t="e">
        <f ca="1">(OFFSET($B$5,SUM($W$6:$W10)-1,)-OFFSET($B$5,SUM($W$6:$W10)-2,))+(OFFSET($B$5,SUM($W$6:$W10)-3,)-OFFSET($B$5,SUM($W$6:$W10)-4,))+(OFFSET($B$5,SUM($W$6:$W10)-5,)-OFFSET($B$5,SUM($W$6:$W10)-6,))+(OFFSET($B$5,SUM($W$6:$W10)-7,)-OFFSET($B$5,SUM($W$6:$W10)-8,))+(OFFSET($B$5,SUM($W$6:$W10)-9,)-OFFSET($B$5,SUM($W$6:$W10)-10,))</f>
        <v>#REF!</v>
      </c>
      <c r="AI10" s="439" t="e">
        <f ca="1">(OFFSET($B$5,SUM($W$6:$W10)-1,)-OFFSET($B$5,SUM($W$6:$W10)-2,))+(OFFSET($B$5,SUM($W$6:$W10)-3,)-OFFSET($B$5,SUM($W$6:$W10)-4,))+(OFFSET($B$5,SUM($W$6:$W10)-5,)-OFFSET($B$5,SUM($W$6:$W10)-6,))+(OFFSET($B$5,SUM($W$6:$W10)-7,)-OFFSET($B$5,SUM($W$6:$W10)-8,))</f>
        <v>#REF!</v>
      </c>
      <c r="AJ10" s="439" t="e">
        <f ca="1">(OFFSET($B$5,SUM($W$6:$W10)-1,)-OFFSET($B$5,SUM($W$6:$W10)-2,))+(OFFSET($B$5,SUM($W$6:$W10)-3,)-OFFSET($B$5,SUM($W$6:$W10)-4,))+(OFFSET($B$5,SUM($W$6:$W10)-5,)-OFFSET($B$5,SUM($W$6:$W10)-6,))</f>
        <v>#REF!</v>
      </c>
      <c r="AK10" s="439">
        <f ca="1">(OFFSET($B$5,SUM($W$6:$W10)-1,)-OFFSET($B$5,SUM($W$6:$W10)-2,))+(OFFSET($B$5,SUM($W$6:$W10)-3,)-OFFSET($B$5,SUM($W$6:$W10)-4,))</f>
        <v>0</v>
      </c>
      <c r="AL10" s="439">
        <f ca="1">(OFFSET($B$5,SUM($W$6:$W10)-1,)-OFFSET($B$5,SUM($W$6:$W10)-2,))</f>
        <v>0</v>
      </c>
      <c r="AM10" s="433">
        <v>0.16666666666666699</v>
      </c>
    </row>
    <row r="11" spans="1:39" x14ac:dyDescent="0.25">
      <c r="A11" s="428"/>
      <c r="B11" s="429"/>
      <c r="C11" s="430"/>
      <c r="F11" s="368">
        <v>44382</v>
      </c>
      <c r="G11" s="412">
        <f t="shared" si="0"/>
        <v>44382</v>
      </c>
      <c r="H11" s="389"/>
      <c r="I11" s="389"/>
      <c r="J11" s="390"/>
      <c r="K11" s="425"/>
      <c r="L11" s="59"/>
      <c r="T11" s="438">
        <f t="shared" si="6"/>
        <v>0</v>
      </c>
      <c r="U11" s="439" t="b">
        <f t="shared" si="7"/>
        <v>0</v>
      </c>
      <c r="V11" s="440" t="b">
        <f t="shared" si="8"/>
        <v>0</v>
      </c>
      <c r="W11" s="437">
        <f t="shared" si="2"/>
        <v>0</v>
      </c>
      <c r="X11" s="439">
        <f t="shared" si="9"/>
        <v>0</v>
      </c>
      <c r="Y11" s="439">
        <f t="shared" si="10"/>
        <v>0</v>
      </c>
      <c r="Z11" s="439">
        <f t="shared" si="13"/>
        <v>0</v>
      </c>
      <c r="AA11" s="439" t="e">
        <f ca="1">(OFFSET($B$5,SUM($W$6:$W11),)-OFFSET($B$5,(SUM($W$6:$W11)-SUM($W11:$W11)+1),))</f>
        <v>#VALUE!</v>
      </c>
      <c r="AB11" s="439" t="e">
        <f ca="1">(OFFSET($B$5,SUM($W$6:$W11),)-OFFSET($B$5,SUM($W$6:$W11)-1,))+(OFFSET($B$5,SUM($W$6:$W11)-2,)-OFFSET($B$5,SUM($W$6:$W11)-3,))+(OFFSET($B$5,SUM($W$6:$W11)-4,)-OFFSET($B$5,SUM($W$6:$W11)-5,))+(OFFSET($B$5,SUM($W$6:$W11)-6,)-OFFSET($B$5,SUM($W$6:$W11)-7,))+(OFFSET($B$5,SUM($W$6:$W11)-8,)-OFFSET($B$5,SUM($W$6:$W11)-9,))+(OFFSET($B$5,SUM($W$6:$W11)-10,)-OFFSET($B$5,SUM($W$6:$W11)-11,))</f>
        <v>#VALUE!</v>
      </c>
      <c r="AC11" s="439" t="e">
        <f ca="1">(OFFSET($B$5,SUM($W$6:$W11),)-OFFSET($B$5,SUM($W$6:$W11)-1,))+(OFFSET($B$5,SUM($W$6:$W11)-2,)-OFFSET($B$5,SUM($W$6:$W11)-3,))+(OFFSET($B$5,SUM($W$6:$W11)-4,)-OFFSET($B$5,SUM($W$6:$W11)-5,))+(OFFSET($B$5,SUM($W$6:$W11)-6,)-OFFSET($B$5,SUM($W$6:$W11)-7,))+(OFFSET($B$5,SUM($W$6:$W11)-8,)-OFFSET($B$5,SUM($W$6:$W11)-9,))</f>
        <v>#VALUE!</v>
      </c>
      <c r="AD11" s="439" t="e">
        <f ca="1">(OFFSET($B$5,SUM($W$6:$W11),)-OFFSET($B$5,SUM($W$6:$W11)-1,))+(OFFSET($B$5,SUM($W$6:$W11)-2,)-OFFSET($B$5,SUM($W$6:$W11)-3,))+(OFFSET($B$5,SUM($W$6:$W11)-4,)-OFFSET($B$5,SUM($W$6:$W11)-5,))+(OFFSET($B$5,SUM($W$6:$W11)-6,)-OFFSET($B$5,SUM($W$6:$W11)-7,))</f>
        <v>#VALUE!</v>
      </c>
      <c r="AE11" s="439" t="e">
        <f ca="1">(OFFSET($B$5,SUM($W$6:$W11),)-OFFSET($B$5,SUM($W$6:$W11)-1,))+(OFFSET($B$5,SUM($W$6:$W11)-2,)-OFFSET($B$5,SUM($W$6:$W11)-3,))+(OFFSET($B$5,SUM($W$6:$W11)-4,)-OFFSET($B$5,SUM($W$6:$W11)-5,))</f>
        <v>#VALUE!</v>
      </c>
      <c r="AF11" s="439" t="e">
        <f ca="1">(OFFSET($B$5,SUM($W$6:$W11),)-OFFSET($B$5,SUM($W$6:$W11)-1,))+(OFFSET($B$5,SUM($W$6:$W11)-2,)-OFFSET($B$5,SUM($W$6:$W11)-3,))</f>
        <v>#VALUE!</v>
      </c>
      <c r="AG11" s="439" t="e">
        <f ca="1">(OFFSET($B$5,SUM($W$6:$W11),)-OFFSET($B$5,SUM($W$6:$W11)-1,))</f>
        <v>#VALUE!</v>
      </c>
      <c r="AH11" s="439" t="e">
        <f ca="1">(OFFSET($B$5,SUM($W$6:$W11)-1,)-OFFSET($B$5,SUM($W$6:$W11)-2,))+(OFFSET($B$5,SUM($W$6:$W11)-3,)-OFFSET($B$5,SUM($W$6:$W11)-4,))+(OFFSET($B$5,SUM($W$6:$W11)-5,)-OFFSET($B$5,SUM($W$6:$W11)-6,))+(OFFSET($B$5,SUM($W$6:$W11)-7,)-OFFSET($B$5,SUM($W$6:$W11)-8,))+(OFFSET($B$5,SUM($W$6:$W11)-9,)-OFFSET($B$5,SUM($W$6:$W11)-10,))</f>
        <v>#REF!</v>
      </c>
      <c r="AI11" s="439" t="e">
        <f ca="1">(OFFSET($B$5,SUM($W$6:$W11)-1,)-OFFSET($B$5,SUM($W$6:$W11)-2,))+(OFFSET($B$5,SUM($W$6:$W11)-3,)-OFFSET($B$5,SUM($W$6:$W11)-4,))+(OFFSET($B$5,SUM($W$6:$W11)-5,)-OFFSET($B$5,SUM($W$6:$W11)-6,))+(OFFSET($B$5,SUM($W$6:$W11)-7,)-OFFSET($B$5,SUM($W$6:$W11)-8,))</f>
        <v>#REF!</v>
      </c>
      <c r="AJ11" s="439" t="e">
        <f ca="1">(OFFSET($B$5,SUM($W$6:$W11)-1,)-OFFSET($B$5,SUM($W$6:$W11)-2,))+(OFFSET($B$5,SUM($W$6:$W11)-3,)-OFFSET($B$5,SUM($W$6:$W11)-4,))+(OFFSET($B$5,SUM($W$6:$W11)-5,)-OFFSET($B$5,SUM($W$6:$W11)-6,))</f>
        <v>#REF!</v>
      </c>
      <c r="AK11" s="439">
        <f ca="1">(OFFSET($B$5,SUM($W$6:$W11)-1,)-OFFSET($B$5,SUM($W$6:$W11)-2,))+(OFFSET($B$5,SUM($W$6:$W11)-3,)-OFFSET($B$5,SUM($W$6:$W11)-4,))</f>
        <v>0</v>
      </c>
      <c r="AL11" s="439">
        <f ca="1">(OFFSET($B$5,SUM($W$6:$W11)-1,)-OFFSET($B$5,SUM($W$6:$W11)-2,))</f>
        <v>0</v>
      </c>
      <c r="AM11" s="433">
        <v>0.20833333333333301</v>
      </c>
    </row>
    <row r="12" spans="1:39" x14ac:dyDescent="0.25">
      <c r="A12" s="428"/>
      <c r="B12" s="429"/>
      <c r="C12" s="430"/>
      <c r="F12" s="368">
        <v>44383</v>
      </c>
      <c r="G12" s="410">
        <f t="shared" si="0"/>
        <v>44383</v>
      </c>
      <c r="H12" s="386">
        <f t="shared" ref="H12:H16" si="14">X12</f>
        <v>0</v>
      </c>
      <c r="I12" s="386">
        <f ca="1">IFERROR(H12+OFFSET($L$7,MATCH(F12,$K$8:$K$36,0),0)-$W$2,H12-$W$2)</f>
        <v>-0.33333333333333331</v>
      </c>
      <c r="J12" s="411">
        <f ca="1">J9+I12</f>
        <v>-1.6666666666666665</v>
      </c>
      <c r="K12" s="425"/>
      <c r="L12" s="59"/>
      <c r="T12" s="438">
        <f t="shared" si="6"/>
        <v>0</v>
      </c>
      <c r="U12" s="439" t="b">
        <f t="shared" si="7"/>
        <v>0</v>
      </c>
      <c r="V12" s="440" t="b">
        <f t="shared" si="8"/>
        <v>0</v>
      </c>
      <c r="W12" s="437">
        <f t="shared" si="2"/>
        <v>0</v>
      </c>
      <c r="X12" s="439">
        <f t="shared" si="9"/>
        <v>0</v>
      </c>
      <c r="Y12" s="439">
        <f t="shared" si="10"/>
        <v>0</v>
      </c>
      <c r="Z12" s="439">
        <f>X12+Y12</f>
        <v>0</v>
      </c>
      <c r="AA12" s="439" t="e">
        <f ca="1">(OFFSET($B$5,SUM($W$6:$W12),)-OFFSET($B$5,(SUM($W$6:$W12)-SUM($W12:$W12)+1),))</f>
        <v>#VALUE!</v>
      </c>
      <c r="AB12" s="439" t="e">
        <f ca="1">(OFFSET($B$5,SUM($W$6:$W12),)-OFFSET($B$5,SUM($W$6:$W12)-1,))+(OFFSET($B$5,SUM($W$6:$W12)-2,)-OFFSET($B$5,SUM($W$6:$W12)-3,))+(OFFSET($B$5,SUM($W$6:$W12)-4,)-OFFSET($B$5,SUM($W$6:$W12)-5,))+(OFFSET($B$5,SUM($W$6:$W12)-6,)-OFFSET($B$5,SUM($W$6:$W12)-7,))+(OFFSET($B$5,SUM($W$6:$W12)-8,)-OFFSET($B$5,SUM($W$6:$W12)-9,))+(OFFSET($B$5,SUM($W$6:$W12)-10,)-OFFSET($B$5,SUM($W$6:$W12)-11,))</f>
        <v>#VALUE!</v>
      </c>
      <c r="AC12" s="439" t="e">
        <f ca="1">(OFFSET($B$5,SUM($W$6:$W12),)-OFFSET($B$5,SUM($W$6:$W12)-1,))+(OFFSET($B$5,SUM($W$6:$W12)-2,)-OFFSET($B$5,SUM($W$6:$W12)-3,))+(OFFSET($B$5,SUM($W$6:$W12)-4,)-OFFSET($B$5,SUM($W$6:$W12)-5,))+(OFFSET($B$5,SUM($W$6:$W12)-6,)-OFFSET($B$5,SUM($W$6:$W12)-7,))+(OFFSET($B$5,SUM($W$6:$W12)-8,)-OFFSET($B$5,SUM($W$6:$W12)-9,))</f>
        <v>#VALUE!</v>
      </c>
      <c r="AD12" s="439" t="e">
        <f ca="1">(OFFSET($B$5,SUM($W$6:$W12),)-OFFSET($B$5,SUM($W$6:$W12)-1,))+(OFFSET($B$5,SUM($W$6:$W12)-2,)-OFFSET($B$5,SUM($W$6:$W12)-3,))+(OFFSET($B$5,SUM($W$6:$W12)-4,)-OFFSET($B$5,SUM($W$6:$W12)-5,))+(OFFSET($B$5,SUM($W$6:$W12)-6,)-OFFSET($B$5,SUM($W$6:$W12)-7,))</f>
        <v>#VALUE!</v>
      </c>
      <c r="AE12" s="439" t="e">
        <f ca="1">(OFFSET($B$5,SUM($W$6:$W12),)-OFFSET($B$5,SUM($W$6:$W12)-1,))+(OFFSET($B$5,SUM($W$6:$W12)-2,)-OFFSET($B$5,SUM($W$6:$W12)-3,))+(OFFSET($B$5,SUM($W$6:$W12)-4,)-OFFSET($B$5,SUM($W$6:$W12)-5,))</f>
        <v>#VALUE!</v>
      </c>
      <c r="AF12" s="439" t="e">
        <f ca="1">(OFFSET($B$5,SUM($W$6:$W12),)-OFFSET($B$5,SUM($W$6:$W12)-1,))+(OFFSET($B$5,SUM($W$6:$W12)-2,)-OFFSET($B$5,SUM($W$6:$W12)-3,))</f>
        <v>#VALUE!</v>
      </c>
      <c r="AG12" s="439" t="e">
        <f ca="1">(OFFSET($B$5,SUM($W$6:$W12),)-OFFSET($B$5,SUM($W$6:$W12)-1,))</f>
        <v>#VALUE!</v>
      </c>
      <c r="AH12" s="439" t="e">
        <f ca="1">(OFFSET($B$5,SUM($W$6:$W12)-1,)-OFFSET($B$5,SUM($W$6:$W12)-2,))+(OFFSET($B$5,SUM($W$6:$W12)-3,)-OFFSET($B$5,SUM($W$6:$W12)-4,))+(OFFSET($B$5,SUM($W$6:$W12)-5,)-OFFSET($B$5,SUM($W$6:$W12)-6,))+(OFFSET($B$5,SUM($W$6:$W12)-7,)-OFFSET($B$5,SUM($W$6:$W12)-8,))+(OFFSET($B$5,SUM($W$6:$W12)-9,)-OFFSET($B$5,SUM($W$6:$W12)-10,))</f>
        <v>#REF!</v>
      </c>
      <c r="AI12" s="439" t="e">
        <f ca="1">(OFFSET($B$5,SUM($W$6:$W12)-1,)-OFFSET($B$5,SUM($W$6:$W12)-2,))+(OFFSET($B$5,SUM($W$6:$W12)-3,)-OFFSET($B$5,SUM($W$6:$W12)-4,))+(OFFSET($B$5,SUM($W$6:$W12)-5,)-OFFSET($B$5,SUM($W$6:$W12)-6,))+(OFFSET($B$5,SUM($W$6:$W12)-7,)-OFFSET($B$5,SUM($W$6:$W12)-8,))</f>
        <v>#REF!</v>
      </c>
      <c r="AJ12" s="439" t="e">
        <f ca="1">(OFFSET($B$5,SUM($W$6:$W12)-1,)-OFFSET($B$5,SUM($W$6:$W12)-2,))+(OFFSET($B$5,SUM($W$6:$W12)-3,)-OFFSET($B$5,SUM($W$6:$W12)-4,))+(OFFSET($B$5,SUM($W$6:$W12)-5,)-OFFSET($B$5,SUM($W$6:$W12)-6,))</f>
        <v>#REF!</v>
      </c>
      <c r="AK12" s="439">
        <f ca="1">(OFFSET($B$5,SUM($W$6:$W12)-1,)-OFFSET($B$5,SUM($W$6:$W12)-2,))+(OFFSET($B$5,SUM($W$6:$W12)-3,)-OFFSET($B$5,SUM($W$6:$W12)-4,))</f>
        <v>0</v>
      </c>
      <c r="AL12" s="439">
        <f ca="1">(OFFSET($B$5,SUM($W$6:$W12)-1,)-OFFSET($B$5,SUM($W$6:$W12)-2,))</f>
        <v>0</v>
      </c>
      <c r="AM12" s="433">
        <v>0.25</v>
      </c>
    </row>
    <row r="13" spans="1:39" x14ac:dyDescent="0.25">
      <c r="A13" s="428"/>
      <c r="B13" s="429"/>
      <c r="C13" s="430"/>
      <c r="D13" s="338"/>
      <c r="E13" s="338"/>
      <c r="F13" s="368">
        <v>44384</v>
      </c>
      <c r="G13" s="410">
        <f t="shared" si="0"/>
        <v>44384</v>
      </c>
      <c r="H13" s="386">
        <f t="shared" si="14"/>
        <v>0</v>
      </c>
      <c r="I13" s="386">
        <f t="shared" ref="I13:I16" ca="1" si="15">IFERROR(H13+T13+OFFSET($L$7,MATCH(F13,$K$8:$K$36,0),0)-$W$2,H13-$W$2)</f>
        <v>-0.33333333333333331</v>
      </c>
      <c r="J13" s="411">
        <f ca="1">J12+I13</f>
        <v>-1.9999999999999998</v>
      </c>
      <c r="K13" s="425"/>
      <c r="L13" s="59"/>
      <c r="T13" s="438">
        <f t="shared" si="6"/>
        <v>0</v>
      </c>
      <c r="U13" s="439" t="b">
        <f t="shared" si="7"/>
        <v>0</v>
      </c>
      <c r="V13" s="440" t="b">
        <f t="shared" si="8"/>
        <v>0</v>
      </c>
      <c r="W13" s="437">
        <f t="shared" si="2"/>
        <v>0</v>
      </c>
      <c r="X13" s="439">
        <f t="shared" si="9"/>
        <v>0</v>
      </c>
      <c r="Y13" s="439">
        <f t="shared" si="10"/>
        <v>0</v>
      </c>
      <c r="Z13" s="439">
        <f>X13+Y13</f>
        <v>0</v>
      </c>
      <c r="AA13" s="439" t="e">
        <f ca="1">(OFFSET($B$5,SUM($W$6:$W13),)-OFFSET($B$5,(SUM($W$6:$W13)-SUM($W13:$W13)+1),))</f>
        <v>#VALUE!</v>
      </c>
      <c r="AB13" s="439" t="e">
        <f ca="1">(OFFSET($B$5,SUM($W$6:$W13),)-OFFSET($B$5,SUM($W$6:$W13)-1,))+(OFFSET($B$5,SUM($W$6:$W13)-2,)-OFFSET($B$5,SUM($W$6:$W13)-3,))+(OFFSET($B$5,SUM($W$6:$W13)-4,)-OFFSET($B$5,SUM($W$6:$W13)-5,))+(OFFSET($B$5,SUM($W$6:$W13)-6,)-OFFSET($B$5,SUM($W$6:$W13)-7,))+(OFFSET($B$5,SUM($W$6:$W13)-8,)-OFFSET($B$5,SUM($W$6:$W13)-9,))+(OFFSET($B$5,SUM($W$6:$W13)-10,)-OFFSET($B$5,SUM($W$6:$W13)-11,))</f>
        <v>#VALUE!</v>
      </c>
      <c r="AC13" s="439" t="e">
        <f ca="1">(OFFSET($B$5,SUM($W$6:$W13),)-OFFSET($B$5,SUM($W$6:$W13)-1,))+(OFFSET($B$5,SUM($W$6:$W13)-2,)-OFFSET($B$5,SUM($W$6:$W13)-3,))+(OFFSET($B$5,SUM($W$6:$W13)-4,)-OFFSET($B$5,SUM($W$6:$W13)-5,))+(OFFSET($B$5,SUM($W$6:$W13)-6,)-OFFSET($B$5,SUM($W$6:$W13)-7,))+(OFFSET($B$5,SUM($W$6:$W13)-8,)-OFFSET($B$5,SUM($W$6:$W13)-9,))</f>
        <v>#VALUE!</v>
      </c>
      <c r="AD13" s="439" t="e">
        <f ca="1">(OFFSET($B$5,SUM($W$6:$W13),)-OFFSET($B$5,SUM($W$6:$W13)-1,))+(OFFSET($B$5,SUM($W$6:$W13)-2,)-OFFSET($B$5,SUM($W$6:$W13)-3,))+(OFFSET($B$5,SUM($W$6:$W13)-4,)-OFFSET($B$5,SUM($W$6:$W13)-5,))+(OFFSET($B$5,SUM($W$6:$W13)-6,)-OFFSET($B$5,SUM($W$6:$W13)-7,))</f>
        <v>#VALUE!</v>
      </c>
      <c r="AE13" s="439" t="e">
        <f ca="1">(OFFSET($B$5,SUM($W$6:$W13),)-OFFSET($B$5,SUM($W$6:$W13)-1,))+(OFFSET($B$5,SUM($W$6:$W13)-2,)-OFFSET($B$5,SUM($W$6:$W13)-3,))+(OFFSET($B$5,SUM($W$6:$W13)-4,)-OFFSET($B$5,SUM($W$6:$W13)-5,))</f>
        <v>#VALUE!</v>
      </c>
      <c r="AF13" s="439" t="e">
        <f ca="1">(OFFSET($B$5,SUM($W$6:$W13),)-OFFSET($B$5,SUM($W$6:$W13)-1,))+(OFFSET($B$5,SUM($W$6:$W13)-2,)-OFFSET($B$5,SUM($W$6:$W13)-3,))</f>
        <v>#VALUE!</v>
      </c>
      <c r="AG13" s="439" t="e">
        <f ca="1">(OFFSET($B$5,SUM($W$6:$W13),)-OFFSET($B$5,SUM($W$6:$W13)-1,))</f>
        <v>#VALUE!</v>
      </c>
      <c r="AH13" s="439" t="e">
        <f ca="1">(OFFSET($B$5,SUM($W$6:$W13)-1,)-OFFSET($B$5,SUM($W$6:$W13)-2,))+(OFFSET($B$5,SUM($W$6:$W13)-3,)-OFFSET($B$5,SUM($W$6:$W13)-4,))+(OFFSET($B$5,SUM($W$6:$W13)-5,)-OFFSET($B$5,SUM($W$6:$W13)-6,))+(OFFSET($B$5,SUM($W$6:$W13)-7,)-OFFSET($B$5,SUM($W$6:$W13)-8,))+(OFFSET($B$5,SUM($W$6:$W13)-9,)-OFFSET($B$5,SUM($W$6:$W13)-10,))</f>
        <v>#REF!</v>
      </c>
      <c r="AI13" s="439" t="e">
        <f ca="1">(OFFSET($B$5,SUM($W$6:$W13)-1,)-OFFSET($B$5,SUM($W$6:$W13)-2,))+(OFFSET($B$5,SUM($W$6:$W13)-3,)-OFFSET($B$5,SUM($W$6:$W13)-4,))+(OFFSET($B$5,SUM($W$6:$W13)-5,)-OFFSET($B$5,SUM($W$6:$W13)-6,))+(OFFSET($B$5,SUM($W$6:$W13)-7,)-OFFSET($B$5,SUM($W$6:$W13)-8,))</f>
        <v>#REF!</v>
      </c>
      <c r="AJ13" s="439" t="e">
        <f ca="1">(OFFSET($B$5,SUM($W$6:$W13)-1,)-OFFSET($B$5,SUM($W$6:$W13)-2,))+(OFFSET($B$5,SUM($W$6:$W13)-3,)-OFFSET($B$5,SUM($W$6:$W13)-4,))+(OFFSET($B$5,SUM($W$6:$W13)-5,)-OFFSET($B$5,SUM($W$6:$W13)-6,))</f>
        <v>#REF!</v>
      </c>
      <c r="AK13" s="439">
        <f ca="1">(OFFSET($B$5,SUM($W$6:$W13)-1,)-OFFSET($B$5,SUM($W$6:$W13)-2,))+(OFFSET($B$5,SUM($W$6:$W13)-3,)-OFFSET($B$5,SUM($W$6:$W13)-4,))</f>
        <v>0</v>
      </c>
      <c r="AL13" s="439">
        <f ca="1">(OFFSET($B$5,SUM($W$6:$W13)-1,)-OFFSET($B$5,SUM($W$6:$W13)-2,))</f>
        <v>0</v>
      </c>
      <c r="AM13" s="433">
        <v>0.29166666666666702</v>
      </c>
    </row>
    <row r="14" spans="1:39" x14ac:dyDescent="0.25">
      <c r="B14" s="338"/>
      <c r="C14" s="57"/>
      <c r="F14" s="368">
        <v>44385</v>
      </c>
      <c r="G14" s="410">
        <f t="shared" si="0"/>
        <v>44385</v>
      </c>
      <c r="H14" s="386">
        <f t="shared" si="14"/>
        <v>0</v>
      </c>
      <c r="I14" s="386">
        <f t="shared" ca="1" si="15"/>
        <v>-0.33333333333333331</v>
      </c>
      <c r="J14" s="411">
        <f t="shared" ref="J14:J16" ca="1" si="16">J13+I14</f>
        <v>-2.333333333333333</v>
      </c>
      <c r="K14" s="425"/>
      <c r="L14" s="59"/>
      <c r="T14" s="438">
        <f t="shared" si="6"/>
        <v>0</v>
      </c>
      <c r="U14" s="439" t="b">
        <f t="shared" si="7"/>
        <v>0</v>
      </c>
      <c r="V14" s="440" t="b">
        <f t="shared" si="8"/>
        <v>0</v>
      </c>
      <c r="W14" s="437">
        <f t="shared" si="2"/>
        <v>0</v>
      </c>
      <c r="X14" s="439">
        <f t="shared" si="9"/>
        <v>0</v>
      </c>
      <c r="Y14" s="439">
        <f t="shared" si="10"/>
        <v>0</v>
      </c>
      <c r="Z14" s="439">
        <f>X14+Y14</f>
        <v>0</v>
      </c>
      <c r="AA14" s="439" t="e">
        <f ca="1">(OFFSET($B$5,SUM($W$6:$W14),)-OFFSET($B$5,(SUM($W$6:$W14)-SUM($W14:$W14)+1),))</f>
        <v>#VALUE!</v>
      </c>
      <c r="AB14" s="439" t="e">
        <f ca="1">(OFFSET($B$5,SUM($W$6:$W14),)-OFFSET($B$5,SUM($W$6:$W14)-1,))+(OFFSET($B$5,SUM($W$6:$W14)-2,)-OFFSET($B$5,SUM($W$6:$W14)-3,))+(OFFSET($B$5,SUM($W$6:$W14)-4,)-OFFSET($B$5,SUM($W$6:$W14)-5,))+(OFFSET($B$5,SUM($W$6:$W14)-6,)-OFFSET($B$5,SUM($W$6:$W14)-7,))+(OFFSET($B$5,SUM($W$6:$W14)-8,)-OFFSET($B$5,SUM($W$6:$W14)-9,))+(OFFSET($B$5,SUM($W$6:$W14)-10,)-OFFSET($B$5,SUM($W$6:$W14)-11,))</f>
        <v>#VALUE!</v>
      </c>
      <c r="AC14" s="439" t="e">
        <f ca="1">(OFFSET($B$5,SUM($W$6:$W14),)-OFFSET($B$5,SUM($W$6:$W14)-1,))+(OFFSET($B$5,SUM($W$6:$W14)-2,)-OFFSET($B$5,SUM($W$6:$W14)-3,))+(OFFSET($B$5,SUM($W$6:$W14)-4,)-OFFSET($B$5,SUM($W$6:$W14)-5,))+(OFFSET($B$5,SUM($W$6:$W14)-6,)-OFFSET($B$5,SUM($W$6:$W14)-7,))+(OFFSET($B$5,SUM($W$6:$W14)-8,)-OFFSET($B$5,SUM($W$6:$W14)-9,))</f>
        <v>#VALUE!</v>
      </c>
      <c r="AD14" s="439" t="e">
        <f ca="1">(OFFSET($B$5,SUM($W$6:$W14),)-OFFSET($B$5,SUM($W$6:$W14)-1,))+(OFFSET($B$5,SUM($W$6:$W14)-2,)-OFFSET($B$5,SUM($W$6:$W14)-3,))+(OFFSET($B$5,SUM($W$6:$W14)-4,)-OFFSET($B$5,SUM($W$6:$W14)-5,))+(OFFSET($B$5,SUM($W$6:$W14)-6,)-OFFSET($B$5,SUM($W$6:$W14)-7,))</f>
        <v>#VALUE!</v>
      </c>
      <c r="AE14" s="439" t="e">
        <f ca="1">(OFFSET($B$5,SUM($W$6:$W14),)-OFFSET($B$5,SUM($W$6:$W14)-1,))+(OFFSET($B$5,SUM($W$6:$W14)-2,)-OFFSET($B$5,SUM($W$6:$W14)-3,))+(OFFSET($B$5,SUM($W$6:$W14)-4,)-OFFSET($B$5,SUM($W$6:$W14)-5,))</f>
        <v>#VALUE!</v>
      </c>
      <c r="AF14" s="439" t="e">
        <f ca="1">(OFFSET($B$5,SUM($W$6:$W14),)-OFFSET($B$5,SUM($W$6:$W14)-1,))+(OFFSET($B$5,SUM($W$6:$W14)-2,)-OFFSET($B$5,SUM($W$6:$W14)-3,))</f>
        <v>#VALUE!</v>
      </c>
      <c r="AG14" s="439" t="e">
        <f ca="1">(OFFSET($B$5,SUM($W$6:$W14),)-OFFSET($B$5,SUM($W$6:$W14)-1,))</f>
        <v>#VALUE!</v>
      </c>
      <c r="AH14" s="439" t="e">
        <f ca="1">(OFFSET($B$5,SUM($W$6:$W14)-1,)-OFFSET($B$5,SUM($W$6:$W14)-2,))+(OFFSET($B$5,SUM($W$6:$W14)-3,)-OFFSET($B$5,SUM($W$6:$W14)-4,))+(OFFSET($B$5,SUM($W$6:$W14)-5,)-OFFSET($B$5,SUM($W$6:$W14)-6,))+(OFFSET($B$5,SUM($W$6:$W14)-7,)-OFFSET($B$5,SUM($W$6:$W14)-8,))+(OFFSET($B$5,SUM($W$6:$W14)-9,)-OFFSET($B$5,SUM($W$6:$W14)-10,))</f>
        <v>#REF!</v>
      </c>
      <c r="AI14" s="439" t="e">
        <f ca="1">(OFFSET($B$5,SUM($W$6:$W14)-1,)-OFFSET($B$5,SUM($W$6:$W14)-2,))+(OFFSET($B$5,SUM($W$6:$W14)-3,)-OFFSET($B$5,SUM($W$6:$W14)-4,))+(OFFSET($B$5,SUM($W$6:$W14)-5,)-OFFSET($B$5,SUM($W$6:$W14)-6,))+(OFFSET($B$5,SUM($W$6:$W14)-7,)-OFFSET($B$5,SUM($W$6:$W14)-8,))</f>
        <v>#REF!</v>
      </c>
      <c r="AJ14" s="439" t="e">
        <f ca="1">(OFFSET($B$5,SUM($W$6:$W14)-1,)-OFFSET($B$5,SUM($W$6:$W14)-2,))+(OFFSET($B$5,SUM($W$6:$W14)-3,)-OFFSET($B$5,SUM($W$6:$W14)-4,))+(OFFSET($B$5,SUM($W$6:$W14)-5,)-OFFSET($B$5,SUM($W$6:$W14)-6,))</f>
        <v>#REF!</v>
      </c>
      <c r="AK14" s="439">
        <f ca="1">(OFFSET($B$5,SUM($W$6:$W14)-1,)-OFFSET($B$5,SUM($W$6:$W14)-2,))+(OFFSET($B$5,SUM($W$6:$W14)-3,)-OFFSET($B$5,SUM($W$6:$W14)-4,))</f>
        <v>0</v>
      </c>
      <c r="AL14" s="439">
        <f ca="1">(OFFSET($B$5,SUM($W$6:$W14)-1,)-OFFSET($B$5,SUM($W$6:$W14)-2,))</f>
        <v>0</v>
      </c>
      <c r="AM14" s="433">
        <v>0.33333333333333298</v>
      </c>
    </row>
    <row r="15" spans="1:39" x14ac:dyDescent="0.25">
      <c r="B15" s="338"/>
      <c r="C15" s="57"/>
      <c r="F15" s="368">
        <v>44386</v>
      </c>
      <c r="G15" s="410">
        <f t="shared" si="0"/>
        <v>44386</v>
      </c>
      <c r="H15" s="386">
        <f t="shared" si="14"/>
        <v>0</v>
      </c>
      <c r="I15" s="386">
        <f t="shared" ca="1" si="15"/>
        <v>-0.33333333333333331</v>
      </c>
      <c r="J15" s="411">
        <f t="shared" ca="1" si="16"/>
        <v>-2.6666666666666665</v>
      </c>
      <c r="K15" s="425"/>
      <c r="L15" s="59"/>
      <c r="T15" s="438">
        <f t="shared" si="6"/>
        <v>0</v>
      </c>
      <c r="U15" s="439" t="b">
        <f t="shared" si="7"/>
        <v>0</v>
      </c>
      <c r="V15" s="440" t="b">
        <f t="shared" si="8"/>
        <v>0</v>
      </c>
      <c r="W15" s="437">
        <f t="shared" si="2"/>
        <v>0</v>
      </c>
      <c r="X15" s="439">
        <f t="shared" si="9"/>
        <v>0</v>
      </c>
      <c r="Y15" s="439">
        <f t="shared" si="10"/>
        <v>0</v>
      </c>
      <c r="Z15" s="439">
        <f>X15+Y15</f>
        <v>0</v>
      </c>
      <c r="AA15" s="439" t="e">
        <f ca="1">(OFFSET($B$5,SUM($W$6:$W15),)-OFFSET($B$5,(SUM($W$6:$W15)-SUM($W15:$W15)+1),))</f>
        <v>#VALUE!</v>
      </c>
      <c r="AB15" s="439" t="e">
        <f ca="1">(OFFSET($B$5,SUM($W$6:$W15),)-OFFSET($B$5,SUM($W$6:$W15)-1,))+(OFFSET($B$5,SUM($W$6:$W15)-2,)-OFFSET($B$5,SUM($W$6:$W15)-3,))+(OFFSET($B$5,SUM($W$6:$W15)-4,)-OFFSET($B$5,SUM($W$6:$W15)-5,))+(OFFSET($B$5,SUM($W$6:$W15)-6,)-OFFSET($B$5,SUM($W$6:$W15)-7,))+(OFFSET($B$5,SUM($W$6:$W15)-8,)-OFFSET($B$5,SUM($W$6:$W15)-9,))+(OFFSET($B$5,SUM($W$6:$W15)-10,)-OFFSET($B$5,SUM($W$6:$W15)-11,))</f>
        <v>#VALUE!</v>
      </c>
      <c r="AC15" s="439" t="e">
        <f ca="1">(OFFSET($B$5,SUM($W$6:$W15),)-OFFSET($B$5,SUM($W$6:$W15)-1,))+(OFFSET($B$5,SUM($W$6:$W15)-2,)-OFFSET($B$5,SUM($W$6:$W15)-3,))+(OFFSET($B$5,SUM($W$6:$W15)-4,)-OFFSET($B$5,SUM($W$6:$W15)-5,))+(OFFSET($B$5,SUM($W$6:$W15)-6,)-OFFSET($B$5,SUM($W$6:$W15)-7,))+(OFFSET($B$5,SUM($W$6:$W15)-8,)-OFFSET($B$5,SUM($W$6:$W15)-9,))</f>
        <v>#VALUE!</v>
      </c>
      <c r="AD15" s="439" t="e">
        <f ca="1">(OFFSET($B$5,SUM($W$6:$W15),)-OFFSET($B$5,SUM($W$6:$W15)-1,))+(OFFSET($B$5,SUM($W$6:$W15)-2,)-OFFSET($B$5,SUM($W$6:$W15)-3,))+(OFFSET($B$5,SUM($W$6:$W15)-4,)-OFFSET($B$5,SUM($W$6:$W15)-5,))+(OFFSET($B$5,SUM($W$6:$W15)-6,)-OFFSET($B$5,SUM($W$6:$W15)-7,))</f>
        <v>#VALUE!</v>
      </c>
      <c r="AE15" s="439" t="e">
        <f ca="1">(OFFSET($B$5,SUM($W$6:$W15),)-OFFSET($B$5,SUM($W$6:$W15)-1,))+(OFFSET($B$5,SUM($W$6:$W15)-2,)-OFFSET($B$5,SUM($W$6:$W15)-3,))+(OFFSET($B$5,SUM($W$6:$W15)-4,)-OFFSET($B$5,SUM($W$6:$W15)-5,))</f>
        <v>#VALUE!</v>
      </c>
      <c r="AF15" s="439" t="e">
        <f ca="1">(OFFSET($B$5,SUM($W$6:$W15),)-OFFSET($B$5,SUM($W$6:$W15)-1,))+(OFFSET($B$5,SUM($W$6:$W15)-2,)-OFFSET($B$5,SUM($W$6:$W15)-3,))</f>
        <v>#VALUE!</v>
      </c>
      <c r="AG15" s="439" t="e">
        <f ca="1">(OFFSET($B$5,SUM($W$6:$W15),)-OFFSET($B$5,SUM($W$6:$W15)-1,))</f>
        <v>#VALUE!</v>
      </c>
      <c r="AH15" s="439" t="e">
        <f ca="1">(OFFSET($B$5,SUM($W$6:$W15)-1,)-OFFSET($B$5,SUM($W$6:$W15)-2,))+(OFFSET($B$5,SUM($W$6:$W15)-3,)-OFFSET($B$5,SUM($W$6:$W15)-4,))+(OFFSET($B$5,SUM($W$6:$W15)-5,)-OFFSET($B$5,SUM($W$6:$W15)-6,))+(OFFSET($B$5,SUM($W$6:$W15)-7,)-OFFSET($B$5,SUM($W$6:$W15)-8,))+(OFFSET($B$5,SUM($W$6:$W15)-9,)-OFFSET($B$5,SUM($W$6:$W15)-10,))</f>
        <v>#REF!</v>
      </c>
      <c r="AI15" s="439" t="e">
        <f ca="1">(OFFSET($B$5,SUM($W$6:$W15)-1,)-OFFSET($B$5,SUM($W$6:$W15)-2,))+(OFFSET($B$5,SUM($W$6:$W15)-3,)-OFFSET($B$5,SUM($W$6:$W15)-4,))+(OFFSET($B$5,SUM($W$6:$W15)-5,)-OFFSET($B$5,SUM($W$6:$W15)-6,))+(OFFSET($B$5,SUM($W$6:$W15)-7,)-OFFSET($B$5,SUM($W$6:$W15)-8,))</f>
        <v>#REF!</v>
      </c>
      <c r="AJ15" s="439" t="e">
        <f ca="1">(OFFSET($B$5,SUM($W$6:$W15)-1,)-OFFSET($B$5,SUM($W$6:$W15)-2,))+(OFFSET($B$5,SUM($W$6:$W15)-3,)-OFFSET($B$5,SUM($W$6:$W15)-4,))+(OFFSET($B$5,SUM($W$6:$W15)-5,)-OFFSET($B$5,SUM($W$6:$W15)-6,))</f>
        <v>#REF!</v>
      </c>
      <c r="AK15" s="439">
        <f ca="1">(OFFSET($B$5,SUM($W$6:$W15)-1,)-OFFSET($B$5,SUM($W$6:$W15)-2,))+(OFFSET($B$5,SUM($W$6:$W15)-3,)-OFFSET($B$5,SUM($W$6:$W15)-4,))</f>
        <v>0</v>
      </c>
      <c r="AL15" s="439">
        <f ca="1">(OFFSET($B$5,SUM($W$6:$W15)-1,)-OFFSET($B$5,SUM($W$6:$W15)-2,))</f>
        <v>0</v>
      </c>
      <c r="AM15" s="433">
        <v>0.375</v>
      </c>
    </row>
    <row r="16" spans="1:39" x14ac:dyDescent="0.25">
      <c r="B16" s="338"/>
      <c r="C16" s="57"/>
      <c r="F16" s="368">
        <v>44387</v>
      </c>
      <c r="G16" s="410">
        <f t="shared" si="0"/>
        <v>44387</v>
      </c>
      <c r="H16" s="386">
        <f t="shared" si="14"/>
        <v>0</v>
      </c>
      <c r="I16" s="386">
        <f t="shared" ca="1" si="15"/>
        <v>-0.33333333333333331</v>
      </c>
      <c r="J16" s="411">
        <f t="shared" ca="1" si="16"/>
        <v>-3</v>
      </c>
      <c r="K16" s="425"/>
      <c r="L16" s="59"/>
      <c r="T16" s="438">
        <f t="shared" si="6"/>
        <v>0</v>
      </c>
      <c r="U16" s="439" t="b">
        <f t="shared" si="7"/>
        <v>0</v>
      </c>
      <c r="V16" s="440" t="b">
        <f t="shared" si="8"/>
        <v>0</v>
      </c>
      <c r="W16" s="437">
        <f t="shared" si="2"/>
        <v>0</v>
      </c>
      <c r="X16" s="439">
        <f t="shared" si="9"/>
        <v>0</v>
      </c>
      <c r="Y16" s="439">
        <f t="shared" si="10"/>
        <v>0</v>
      </c>
      <c r="Z16" s="439">
        <f>X16+Y16</f>
        <v>0</v>
      </c>
      <c r="AA16" s="439" t="e">
        <f ca="1">(OFFSET($B$5,SUM($W$6:$W16),)-OFFSET($B$5,(SUM($W$6:$W16)-SUM($W16:$W16)+1),))</f>
        <v>#VALUE!</v>
      </c>
      <c r="AB16" s="439" t="e">
        <f ca="1">(OFFSET($B$5,SUM($W$6:$W16),)-OFFSET($B$5,SUM($W$6:$W16)-1,))+(OFFSET($B$5,SUM($W$6:$W16)-2,)-OFFSET($B$5,SUM($W$6:$W16)-3,))+(OFFSET($B$5,SUM($W$6:$W16)-4,)-OFFSET($B$5,SUM($W$6:$W16)-5,))+(OFFSET($B$5,SUM($W$6:$W16)-6,)-OFFSET($B$5,SUM($W$6:$W16)-7,))+(OFFSET($B$5,SUM($W$6:$W16)-8,)-OFFSET($B$5,SUM($W$6:$W16)-9,))+(OFFSET($B$5,SUM($W$6:$W16)-10,)-OFFSET($B$5,SUM($W$6:$W16)-11,))</f>
        <v>#VALUE!</v>
      </c>
      <c r="AC16" s="439" t="e">
        <f ca="1">(OFFSET($B$5,SUM($W$6:$W16),)-OFFSET($B$5,SUM($W$6:$W16)-1,))+(OFFSET($B$5,SUM($W$6:$W16)-2,)-OFFSET($B$5,SUM($W$6:$W16)-3,))+(OFFSET($B$5,SUM($W$6:$W16)-4,)-OFFSET($B$5,SUM($W$6:$W16)-5,))+(OFFSET($B$5,SUM($W$6:$W16)-6,)-OFFSET($B$5,SUM($W$6:$W16)-7,))+(OFFSET($B$5,SUM($W$6:$W16)-8,)-OFFSET($B$5,SUM($W$6:$W16)-9,))</f>
        <v>#VALUE!</v>
      </c>
      <c r="AD16" s="439" t="e">
        <f ca="1">(OFFSET($B$5,SUM($W$6:$W16),)-OFFSET($B$5,SUM($W$6:$W16)-1,))+(OFFSET($B$5,SUM($W$6:$W16)-2,)-OFFSET($B$5,SUM($W$6:$W16)-3,))+(OFFSET($B$5,SUM($W$6:$W16)-4,)-OFFSET($B$5,SUM($W$6:$W16)-5,))+(OFFSET($B$5,SUM($W$6:$W16)-6,)-OFFSET($B$5,SUM($W$6:$W16)-7,))</f>
        <v>#VALUE!</v>
      </c>
      <c r="AE16" s="439" t="e">
        <f ca="1">(OFFSET($B$5,SUM($W$6:$W16),)-OFFSET($B$5,SUM($W$6:$W16)-1,))+(OFFSET($B$5,SUM($W$6:$W16)-2,)-OFFSET($B$5,SUM($W$6:$W16)-3,))+(OFFSET($B$5,SUM($W$6:$W16)-4,)-OFFSET($B$5,SUM($W$6:$W16)-5,))</f>
        <v>#VALUE!</v>
      </c>
      <c r="AF16" s="439" t="e">
        <f ca="1">(OFFSET($B$5,SUM($W$6:$W16),)-OFFSET($B$5,SUM($W$6:$W16)-1,))+(OFFSET($B$5,SUM($W$6:$W16)-2,)-OFFSET($B$5,SUM($W$6:$W16)-3,))</f>
        <v>#VALUE!</v>
      </c>
      <c r="AG16" s="439" t="e">
        <f ca="1">(OFFSET($B$5,SUM($W$6:$W16),)-OFFSET($B$5,SUM($W$6:$W16)-1,))</f>
        <v>#VALUE!</v>
      </c>
      <c r="AH16" s="439" t="e">
        <f ca="1">(OFFSET($B$5,SUM($W$6:$W16)-1,)-OFFSET($B$5,SUM($W$6:$W16)-2,))+(OFFSET($B$5,SUM($W$6:$W16)-3,)-OFFSET($B$5,SUM($W$6:$W16)-4,))+(OFFSET($B$5,SUM($W$6:$W16)-5,)-OFFSET($B$5,SUM($W$6:$W16)-6,))+(OFFSET($B$5,SUM($W$6:$W16)-7,)-OFFSET($B$5,SUM($W$6:$W16)-8,))+(OFFSET($B$5,SUM($W$6:$W16)-9,)-OFFSET($B$5,SUM($W$6:$W16)-10,))</f>
        <v>#REF!</v>
      </c>
      <c r="AI16" s="439" t="e">
        <f ca="1">(OFFSET($B$5,SUM($W$6:$W16)-1,)-OFFSET($B$5,SUM($W$6:$W16)-2,))+(OFFSET($B$5,SUM($W$6:$W16)-3,)-OFFSET($B$5,SUM($W$6:$W16)-4,))+(OFFSET($B$5,SUM($W$6:$W16)-5,)-OFFSET($B$5,SUM($W$6:$W16)-6,))+(OFFSET($B$5,SUM($W$6:$W16)-7,)-OFFSET($B$5,SUM($W$6:$W16)-8,))</f>
        <v>#REF!</v>
      </c>
      <c r="AJ16" s="439" t="e">
        <f ca="1">(OFFSET($B$5,SUM($W$6:$W16)-1,)-OFFSET($B$5,SUM($W$6:$W16)-2,))+(OFFSET($B$5,SUM($W$6:$W16)-3,)-OFFSET($B$5,SUM($W$6:$W16)-4,))+(OFFSET($B$5,SUM($W$6:$W16)-5,)-OFFSET($B$5,SUM($W$6:$W16)-6,))</f>
        <v>#REF!</v>
      </c>
      <c r="AK16" s="439">
        <f ca="1">(OFFSET($B$5,SUM($W$6:$W16)-1,)-OFFSET($B$5,SUM($W$6:$W16)-2,))+(OFFSET($B$5,SUM($W$6:$W16)-3,)-OFFSET($B$5,SUM($W$6:$W16)-4,))</f>
        <v>0</v>
      </c>
      <c r="AL16" s="439">
        <f ca="1">(OFFSET($B$5,SUM($W$6:$W16)-1,)-OFFSET($B$5,SUM($W$6:$W16)-2,))</f>
        <v>0</v>
      </c>
      <c r="AM16" s="433">
        <v>0.41666666666666702</v>
      </c>
    </row>
    <row r="17" spans="2:39" x14ac:dyDescent="0.25">
      <c r="B17" s="338"/>
      <c r="C17" s="57"/>
      <c r="F17" s="368">
        <v>44388</v>
      </c>
      <c r="G17" s="412">
        <f t="shared" si="0"/>
        <v>44388</v>
      </c>
      <c r="H17" s="389"/>
      <c r="I17" s="389"/>
      <c r="J17" s="390"/>
      <c r="K17" s="425"/>
      <c r="L17" s="59"/>
      <c r="T17" s="438">
        <f t="shared" si="6"/>
        <v>0</v>
      </c>
      <c r="U17" s="439" t="b">
        <f t="shared" si="7"/>
        <v>0</v>
      </c>
      <c r="V17" s="440" t="b">
        <f t="shared" si="8"/>
        <v>0</v>
      </c>
      <c r="W17" s="437">
        <f t="shared" si="2"/>
        <v>0</v>
      </c>
      <c r="X17" s="439">
        <f t="shared" si="9"/>
        <v>0</v>
      </c>
      <c r="Y17" s="439">
        <f t="shared" si="10"/>
        <v>0</v>
      </c>
      <c r="Z17" s="439">
        <f t="shared" si="13"/>
        <v>0</v>
      </c>
      <c r="AA17" s="439" t="e">
        <f ca="1">(OFFSET($B$5,SUM($W$6:$W17),)-OFFSET($B$5,(SUM($W$6:$W17)-SUM($W17:$W17)+1),))</f>
        <v>#VALUE!</v>
      </c>
      <c r="AB17" s="439" t="e">
        <f ca="1">(OFFSET($B$5,SUM($W$6:$W17),)-OFFSET($B$5,SUM($W$6:$W17)-1,))+(OFFSET($B$5,SUM($W$6:$W17)-2,)-OFFSET($B$5,SUM($W$6:$W17)-3,))+(OFFSET($B$5,SUM($W$6:$W17)-4,)-OFFSET($B$5,SUM($W$6:$W17)-5,))+(OFFSET($B$5,SUM($W$6:$W17)-6,)-OFFSET($B$5,SUM($W$6:$W17)-7,))+(OFFSET($B$5,SUM($W$6:$W17)-8,)-OFFSET($B$5,SUM($W$6:$W17)-9,))+(OFFSET($B$5,SUM($W$6:$W17)-10,)-OFFSET($B$5,SUM($W$6:$W17)-11,))</f>
        <v>#VALUE!</v>
      </c>
      <c r="AC17" s="439" t="e">
        <f ca="1">(OFFSET($B$5,SUM($W$6:$W17),)-OFFSET($B$5,SUM($W$6:$W17)-1,))+(OFFSET($B$5,SUM($W$6:$W17)-2,)-OFFSET($B$5,SUM($W$6:$W17)-3,))+(OFFSET($B$5,SUM($W$6:$W17)-4,)-OFFSET($B$5,SUM($W$6:$W17)-5,))+(OFFSET($B$5,SUM($W$6:$W17)-6,)-OFFSET($B$5,SUM($W$6:$W17)-7,))+(OFFSET($B$5,SUM($W$6:$W17)-8,)-OFFSET($B$5,SUM($W$6:$W17)-9,))</f>
        <v>#VALUE!</v>
      </c>
      <c r="AD17" s="439" t="e">
        <f ca="1">(OFFSET($B$5,SUM($W$6:$W17),)-OFFSET($B$5,SUM($W$6:$W17)-1,))+(OFFSET($B$5,SUM($W$6:$W17)-2,)-OFFSET($B$5,SUM($W$6:$W17)-3,))+(OFFSET($B$5,SUM($W$6:$W17)-4,)-OFFSET($B$5,SUM($W$6:$W17)-5,))+(OFFSET($B$5,SUM($W$6:$W17)-6,)-OFFSET($B$5,SUM($W$6:$W17)-7,))</f>
        <v>#VALUE!</v>
      </c>
      <c r="AE17" s="439" t="e">
        <f ca="1">(OFFSET($B$5,SUM($W$6:$W17),)-OFFSET($B$5,SUM($W$6:$W17)-1,))+(OFFSET($B$5,SUM($W$6:$W17)-2,)-OFFSET($B$5,SUM($W$6:$W17)-3,))+(OFFSET($B$5,SUM($W$6:$W17)-4,)-OFFSET($B$5,SUM($W$6:$W17)-5,))</f>
        <v>#VALUE!</v>
      </c>
      <c r="AF17" s="439" t="e">
        <f ca="1">(OFFSET($B$5,SUM($W$6:$W17),)-OFFSET($B$5,SUM($W$6:$W17)-1,))+(OFFSET($B$5,SUM($W$6:$W17)-2,)-OFFSET($B$5,SUM($W$6:$W17)-3,))</f>
        <v>#VALUE!</v>
      </c>
      <c r="AG17" s="439" t="e">
        <f ca="1">(OFFSET($B$5,SUM($W$6:$W17),)-OFFSET($B$5,SUM($W$6:$W17)-1,))</f>
        <v>#VALUE!</v>
      </c>
      <c r="AH17" s="439" t="e">
        <f ca="1">(OFFSET($B$5,SUM($W$6:$W17)-1,)-OFFSET($B$5,SUM($W$6:$W17)-2,))+(OFFSET($B$5,SUM($W$6:$W17)-3,)-OFFSET($B$5,SUM($W$6:$W17)-4,))+(OFFSET($B$5,SUM($W$6:$W17)-5,)-OFFSET($B$5,SUM($W$6:$W17)-6,))+(OFFSET($B$5,SUM($W$6:$W17)-7,)-OFFSET($B$5,SUM($W$6:$W17)-8,))+(OFFSET($B$5,SUM($W$6:$W17)-9,)-OFFSET($B$5,SUM($W$6:$W17)-10,))</f>
        <v>#REF!</v>
      </c>
      <c r="AI17" s="439" t="e">
        <f ca="1">(OFFSET($B$5,SUM($W$6:$W17)-1,)-OFFSET($B$5,SUM($W$6:$W17)-2,))+(OFFSET($B$5,SUM($W$6:$W17)-3,)-OFFSET($B$5,SUM($W$6:$W17)-4,))+(OFFSET($B$5,SUM($W$6:$W17)-5,)-OFFSET($B$5,SUM($W$6:$W17)-6,))+(OFFSET($B$5,SUM($W$6:$W17)-7,)-OFFSET($B$5,SUM($W$6:$W17)-8,))</f>
        <v>#REF!</v>
      </c>
      <c r="AJ17" s="439" t="e">
        <f ca="1">(OFFSET($B$5,SUM($W$6:$W17)-1,)-OFFSET($B$5,SUM($W$6:$W17)-2,))+(OFFSET($B$5,SUM($W$6:$W17)-3,)-OFFSET($B$5,SUM($W$6:$W17)-4,))+(OFFSET($B$5,SUM($W$6:$W17)-5,)-OFFSET($B$5,SUM($W$6:$W17)-6,))</f>
        <v>#REF!</v>
      </c>
      <c r="AK17" s="439">
        <f ca="1">(OFFSET($B$5,SUM($W$6:$W17)-1,)-OFFSET($B$5,SUM($W$6:$W17)-2,))+(OFFSET($B$5,SUM($W$6:$W17)-3,)-OFFSET($B$5,SUM($W$6:$W17)-4,))</f>
        <v>0</v>
      </c>
      <c r="AL17" s="439">
        <f ca="1">(OFFSET($B$5,SUM($W$6:$W17)-1,)-OFFSET($B$5,SUM($W$6:$W17)-2,))</f>
        <v>0</v>
      </c>
      <c r="AM17" s="433">
        <v>0.45833333333333298</v>
      </c>
    </row>
    <row r="18" spans="2:39" x14ac:dyDescent="0.25">
      <c r="B18" s="338"/>
      <c r="C18" s="57"/>
      <c r="F18" s="368">
        <v>44389</v>
      </c>
      <c r="G18" s="412">
        <f t="shared" si="0"/>
        <v>44389</v>
      </c>
      <c r="H18" s="389"/>
      <c r="I18" s="389"/>
      <c r="J18" s="390"/>
      <c r="K18" s="426"/>
      <c r="L18" s="60"/>
      <c r="T18" s="438">
        <f t="shared" si="6"/>
        <v>0</v>
      </c>
      <c r="U18" s="439" t="b">
        <f t="shared" si="7"/>
        <v>0</v>
      </c>
      <c r="V18" s="440" t="b">
        <f t="shared" si="8"/>
        <v>0</v>
      </c>
      <c r="W18" s="437">
        <f t="shared" si="2"/>
        <v>0</v>
      </c>
      <c r="X18" s="439">
        <f t="shared" si="9"/>
        <v>0</v>
      </c>
      <c r="Y18" s="439">
        <f t="shared" si="10"/>
        <v>0</v>
      </c>
      <c r="Z18" s="439">
        <f t="shared" si="13"/>
        <v>0</v>
      </c>
      <c r="AA18" s="439" t="e">
        <f ca="1">(OFFSET($B$5,SUM($W$6:$W18),)-OFFSET($B$5,(SUM($W$6:$W18)-SUM($W18:$W18)+1),))</f>
        <v>#VALUE!</v>
      </c>
      <c r="AB18" s="439" t="e">
        <f ca="1">(OFFSET($B$5,SUM($W$6:$W18),)-OFFSET($B$5,SUM($W$6:$W18)-1,))+(OFFSET($B$5,SUM($W$6:$W18)-2,)-OFFSET($B$5,SUM($W$6:$W18)-3,))+(OFFSET($B$5,SUM($W$6:$W18)-4,)-OFFSET($B$5,SUM($W$6:$W18)-5,))+(OFFSET($B$5,SUM($W$6:$W18)-6,)-OFFSET($B$5,SUM($W$6:$W18)-7,))+(OFFSET($B$5,SUM($W$6:$W18)-8,)-OFFSET($B$5,SUM($W$6:$W18)-9,))+(OFFSET($B$5,SUM($W$6:$W18)-10,)-OFFSET($B$5,SUM($W$6:$W18)-11,))</f>
        <v>#VALUE!</v>
      </c>
      <c r="AC18" s="439" t="e">
        <f ca="1">(OFFSET($B$5,SUM($W$6:$W18),)-OFFSET($B$5,SUM($W$6:$W18)-1,))+(OFFSET($B$5,SUM($W$6:$W18)-2,)-OFFSET($B$5,SUM($W$6:$W18)-3,))+(OFFSET($B$5,SUM($W$6:$W18)-4,)-OFFSET($B$5,SUM($W$6:$W18)-5,))+(OFFSET($B$5,SUM($W$6:$W18)-6,)-OFFSET($B$5,SUM($W$6:$W18)-7,))+(OFFSET($B$5,SUM($W$6:$W18)-8,)-OFFSET($B$5,SUM($W$6:$W18)-9,))</f>
        <v>#VALUE!</v>
      </c>
      <c r="AD18" s="439" t="e">
        <f ca="1">(OFFSET($B$5,SUM($W$6:$W18),)-OFFSET($B$5,SUM($W$6:$W18)-1,))+(OFFSET($B$5,SUM($W$6:$W18)-2,)-OFFSET($B$5,SUM($W$6:$W18)-3,))+(OFFSET($B$5,SUM($W$6:$W18)-4,)-OFFSET($B$5,SUM($W$6:$W18)-5,))+(OFFSET($B$5,SUM($W$6:$W18)-6,)-OFFSET($B$5,SUM($W$6:$W18)-7,))</f>
        <v>#VALUE!</v>
      </c>
      <c r="AE18" s="439" t="e">
        <f ca="1">(OFFSET($B$5,SUM($W$6:$W18),)-OFFSET($B$5,SUM($W$6:$W18)-1,))+(OFFSET($B$5,SUM($W$6:$W18)-2,)-OFFSET($B$5,SUM($W$6:$W18)-3,))+(OFFSET($B$5,SUM($W$6:$W18)-4,)-OFFSET($B$5,SUM($W$6:$W18)-5,))</f>
        <v>#VALUE!</v>
      </c>
      <c r="AF18" s="439" t="e">
        <f ca="1">(OFFSET($B$5,SUM($W$6:$W18),)-OFFSET($B$5,SUM($W$6:$W18)-1,))+(OFFSET($B$5,SUM($W$6:$W18)-2,)-OFFSET($B$5,SUM($W$6:$W18)-3,))</f>
        <v>#VALUE!</v>
      </c>
      <c r="AG18" s="439" t="e">
        <f ca="1">(OFFSET($B$5,SUM($W$6:$W18),)-OFFSET($B$5,SUM($W$6:$W18)-1,))</f>
        <v>#VALUE!</v>
      </c>
      <c r="AH18" s="439" t="e">
        <f ca="1">(OFFSET($B$5,SUM($W$6:$W18)-1,)-OFFSET($B$5,SUM($W$6:$W18)-2,))+(OFFSET($B$5,SUM($W$6:$W18)-3,)-OFFSET($B$5,SUM($W$6:$W18)-4,))+(OFFSET($B$5,SUM($W$6:$W18)-5,)-OFFSET($B$5,SUM($W$6:$W18)-6,))+(OFFSET($B$5,SUM($W$6:$W18)-7,)-OFFSET($B$5,SUM($W$6:$W18)-8,))+(OFFSET($B$5,SUM($W$6:$W18)-9,)-OFFSET($B$5,SUM($W$6:$W18)-10,))</f>
        <v>#REF!</v>
      </c>
      <c r="AI18" s="439" t="e">
        <f ca="1">(OFFSET($B$5,SUM($W$6:$W18)-1,)-OFFSET($B$5,SUM($W$6:$W18)-2,))+(OFFSET($B$5,SUM($W$6:$W18)-3,)-OFFSET($B$5,SUM($W$6:$W18)-4,))+(OFFSET($B$5,SUM($W$6:$W18)-5,)-OFFSET($B$5,SUM($W$6:$W18)-6,))+(OFFSET($B$5,SUM($W$6:$W18)-7,)-OFFSET($B$5,SUM($W$6:$W18)-8,))</f>
        <v>#REF!</v>
      </c>
      <c r="AJ18" s="439" t="e">
        <f ca="1">(OFFSET($B$5,SUM($W$6:$W18)-1,)-OFFSET($B$5,SUM($W$6:$W18)-2,))+(OFFSET($B$5,SUM($W$6:$W18)-3,)-OFFSET($B$5,SUM($W$6:$W18)-4,))+(OFFSET($B$5,SUM($W$6:$W18)-5,)-OFFSET($B$5,SUM($W$6:$W18)-6,))</f>
        <v>#REF!</v>
      </c>
      <c r="AK18" s="439">
        <f ca="1">(OFFSET($B$5,SUM($W$6:$W18)-1,)-OFFSET($B$5,SUM($W$6:$W18)-2,))+(OFFSET($B$5,SUM($W$6:$W18)-3,)-OFFSET($B$5,SUM($W$6:$W18)-4,))</f>
        <v>0</v>
      </c>
      <c r="AL18" s="439">
        <f ca="1">(OFFSET($B$5,SUM($W$6:$W18)-1,)-OFFSET($B$5,SUM($W$6:$W18)-2,))</f>
        <v>0</v>
      </c>
      <c r="AM18" s="433">
        <v>0.5</v>
      </c>
    </row>
    <row r="19" spans="2:39" x14ac:dyDescent="0.25">
      <c r="B19" s="338"/>
      <c r="C19" s="57"/>
      <c r="F19" s="368">
        <v>44390</v>
      </c>
      <c r="G19" s="410">
        <f t="shared" si="0"/>
        <v>44390</v>
      </c>
      <c r="H19" s="386">
        <f t="shared" ref="H19:H23" si="17">X19</f>
        <v>0</v>
      </c>
      <c r="I19" s="386">
        <f t="shared" ref="I19:I23" ca="1" si="18">IFERROR(H19+T19+OFFSET($L$7,MATCH(F19,$K$8:$K$36,0),0)-$W$2,H19-$W$2)</f>
        <v>-0.33333333333333331</v>
      </c>
      <c r="J19" s="411">
        <f ca="1">I19+J16</f>
        <v>-3.3333333333333335</v>
      </c>
      <c r="K19" s="426"/>
      <c r="L19" s="60"/>
      <c r="T19" s="438">
        <f t="shared" si="6"/>
        <v>0</v>
      </c>
      <c r="U19" s="439" t="b">
        <f t="shared" si="7"/>
        <v>0</v>
      </c>
      <c r="V19" s="440" t="b">
        <f t="shared" si="8"/>
        <v>0</v>
      </c>
      <c r="W19" s="437">
        <f t="shared" si="2"/>
        <v>0</v>
      </c>
      <c r="X19" s="439">
        <f t="shared" si="9"/>
        <v>0</v>
      </c>
      <c r="Y19" s="439">
        <f t="shared" si="10"/>
        <v>0</v>
      </c>
      <c r="Z19" s="439">
        <f>X19+Y19</f>
        <v>0</v>
      </c>
      <c r="AA19" s="439" t="e">
        <f ca="1">(OFFSET($B$5,SUM($W$6:$W19),)-OFFSET($B$5,(SUM($W$6:$W19)-SUM($W19:$W19)+1),))</f>
        <v>#VALUE!</v>
      </c>
      <c r="AB19" s="439" t="e">
        <f ca="1">(OFFSET($B$5,SUM($W$6:$W19),)-OFFSET($B$5,SUM($W$6:$W19)-1,))+(OFFSET($B$5,SUM($W$6:$W19)-2,)-OFFSET($B$5,SUM($W$6:$W19)-3,))+(OFFSET($B$5,SUM($W$6:$W19)-4,)-OFFSET($B$5,SUM($W$6:$W19)-5,))+(OFFSET($B$5,SUM($W$6:$W19)-6,)-OFFSET($B$5,SUM($W$6:$W19)-7,))+(OFFSET($B$5,SUM($W$6:$W19)-8,)-OFFSET($B$5,SUM($W$6:$W19)-9,))+(OFFSET($B$5,SUM($W$6:$W19)-10,)-OFFSET($B$5,SUM($W$6:$W19)-11,))</f>
        <v>#VALUE!</v>
      </c>
      <c r="AC19" s="439" t="e">
        <f ca="1">(OFFSET($B$5,SUM($W$6:$W19),)-OFFSET($B$5,SUM($W$6:$W19)-1,))+(OFFSET($B$5,SUM($W$6:$W19)-2,)-OFFSET($B$5,SUM($W$6:$W19)-3,))+(OFFSET($B$5,SUM($W$6:$W19)-4,)-OFFSET($B$5,SUM($W$6:$W19)-5,))+(OFFSET($B$5,SUM($W$6:$W19)-6,)-OFFSET($B$5,SUM($W$6:$W19)-7,))+(OFFSET($B$5,SUM($W$6:$W19)-8,)-OFFSET($B$5,SUM($W$6:$W19)-9,))</f>
        <v>#VALUE!</v>
      </c>
      <c r="AD19" s="439" t="e">
        <f ca="1">(OFFSET($B$5,SUM($W$6:$W19),)-OFFSET($B$5,SUM($W$6:$W19)-1,))+(OFFSET($B$5,SUM($W$6:$W19)-2,)-OFFSET($B$5,SUM($W$6:$W19)-3,))+(OFFSET($B$5,SUM($W$6:$W19)-4,)-OFFSET($B$5,SUM($W$6:$W19)-5,))+(OFFSET($B$5,SUM($W$6:$W19)-6,)-OFFSET($B$5,SUM($W$6:$W19)-7,))</f>
        <v>#VALUE!</v>
      </c>
      <c r="AE19" s="439" t="e">
        <f ca="1">(OFFSET($B$5,SUM($W$6:$W19),)-OFFSET($B$5,SUM($W$6:$W19)-1,))+(OFFSET($B$5,SUM($W$6:$W19)-2,)-OFFSET($B$5,SUM($W$6:$W19)-3,))+(OFFSET($B$5,SUM($W$6:$W19)-4,)-OFFSET($B$5,SUM($W$6:$W19)-5,))</f>
        <v>#VALUE!</v>
      </c>
      <c r="AF19" s="439" t="e">
        <f ca="1">(OFFSET($B$5,SUM($W$6:$W19),)-OFFSET($B$5,SUM($W$6:$W19)-1,))+(OFFSET($B$5,SUM($W$6:$W19)-2,)-OFFSET($B$5,SUM($W$6:$W19)-3,))</f>
        <v>#VALUE!</v>
      </c>
      <c r="AG19" s="439" t="e">
        <f ca="1">(OFFSET($B$5,SUM($W$6:$W19),)-OFFSET($B$5,SUM($W$6:$W19)-1,))</f>
        <v>#VALUE!</v>
      </c>
      <c r="AH19" s="439" t="e">
        <f ca="1">(OFFSET($B$5,SUM($W$6:$W19)-1,)-OFFSET($B$5,SUM($W$6:$W19)-2,))+(OFFSET($B$5,SUM($W$6:$W19)-3,)-OFFSET($B$5,SUM($W$6:$W19)-4,))+(OFFSET($B$5,SUM($W$6:$W19)-5,)-OFFSET($B$5,SUM($W$6:$W19)-6,))+(OFFSET($B$5,SUM($W$6:$W19)-7,)-OFFSET($B$5,SUM($W$6:$W19)-8,))+(OFFSET($B$5,SUM($W$6:$W19)-9,)-OFFSET($B$5,SUM($W$6:$W19)-10,))</f>
        <v>#REF!</v>
      </c>
      <c r="AI19" s="439" t="e">
        <f ca="1">(OFFSET($B$5,SUM($W$6:$W19)-1,)-OFFSET($B$5,SUM($W$6:$W19)-2,))+(OFFSET($B$5,SUM($W$6:$W19)-3,)-OFFSET($B$5,SUM($W$6:$W19)-4,))+(OFFSET($B$5,SUM($W$6:$W19)-5,)-OFFSET($B$5,SUM($W$6:$W19)-6,))+(OFFSET($B$5,SUM($W$6:$W19)-7,)-OFFSET($B$5,SUM($W$6:$W19)-8,))</f>
        <v>#REF!</v>
      </c>
      <c r="AJ19" s="439" t="e">
        <f ca="1">(OFFSET($B$5,SUM($W$6:$W19)-1,)-OFFSET($B$5,SUM($W$6:$W19)-2,))+(OFFSET($B$5,SUM($W$6:$W19)-3,)-OFFSET($B$5,SUM($W$6:$W19)-4,))+(OFFSET($B$5,SUM($W$6:$W19)-5,)-OFFSET($B$5,SUM($W$6:$W19)-6,))</f>
        <v>#REF!</v>
      </c>
      <c r="AK19" s="439">
        <f ca="1">(OFFSET($B$5,SUM($W$6:$W19)-1,)-OFFSET($B$5,SUM($W$6:$W19)-2,))+(OFFSET($B$5,SUM($W$6:$W19)-3,)-OFFSET($B$5,SUM($W$6:$W19)-4,))</f>
        <v>0</v>
      </c>
      <c r="AL19" s="439">
        <f ca="1">(OFFSET($B$5,SUM($W$6:$W19)-1,)-OFFSET($B$5,SUM($W$6:$W19)-2,))</f>
        <v>0</v>
      </c>
      <c r="AM19" s="433">
        <v>0.54166666666666696</v>
      </c>
    </row>
    <row r="20" spans="2:39" x14ac:dyDescent="0.25">
      <c r="B20" s="338"/>
      <c r="C20" s="57"/>
      <c r="F20" s="368">
        <v>44391</v>
      </c>
      <c r="G20" s="410">
        <f t="shared" si="0"/>
        <v>44391</v>
      </c>
      <c r="H20" s="386">
        <f t="shared" si="17"/>
        <v>0</v>
      </c>
      <c r="I20" s="386">
        <f ca="1">IFERROR(H20+T20+OFFSET($L$7,MATCH(F20,$K$8:$K$36,0),0)-$W$2,H20-$W$2)</f>
        <v>-0.33333333333333331</v>
      </c>
      <c r="J20" s="411">
        <f ca="1">I20+J19</f>
        <v>-3.666666666666667</v>
      </c>
      <c r="K20" s="426"/>
      <c r="L20" s="61"/>
      <c r="T20" s="438">
        <f t="shared" si="6"/>
        <v>0</v>
      </c>
      <c r="U20" s="439" t="b">
        <f t="shared" si="7"/>
        <v>0</v>
      </c>
      <c r="V20" s="440" t="b">
        <f t="shared" si="8"/>
        <v>0</v>
      </c>
      <c r="W20" s="437">
        <f t="shared" si="2"/>
        <v>0</v>
      </c>
      <c r="X20" s="439">
        <f t="shared" si="9"/>
        <v>0</v>
      </c>
      <c r="Y20" s="439">
        <f t="shared" si="10"/>
        <v>0</v>
      </c>
      <c r="Z20" s="439">
        <f t="shared" si="13"/>
        <v>0</v>
      </c>
      <c r="AA20" s="439" t="e">
        <f ca="1">(OFFSET($B$5,SUM($W$6:$W20),)-OFFSET($B$5,(SUM($W$6:$W20)-SUM($W20:$W20)+1),))</f>
        <v>#VALUE!</v>
      </c>
      <c r="AB20" s="439" t="e">
        <f ca="1">(OFFSET($B$5,SUM($W$6:$W20),)-OFFSET($B$5,SUM($W$6:$W20)-1,))+(OFFSET($B$5,SUM($W$6:$W20)-2,)-OFFSET($B$5,SUM($W$6:$W20)-3,))+(OFFSET($B$5,SUM($W$6:$W20)-4,)-OFFSET($B$5,SUM($W$6:$W20)-5,))+(OFFSET($B$5,SUM($W$6:$W20)-6,)-OFFSET($B$5,SUM($W$6:$W20)-7,))+(OFFSET($B$5,SUM($W$6:$W20)-8,)-OFFSET($B$5,SUM($W$6:$W20)-9,))+(OFFSET($B$5,SUM($W$6:$W20)-10,)-OFFSET($B$5,SUM($W$6:$W20)-11,))</f>
        <v>#VALUE!</v>
      </c>
      <c r="AC20" s="439" t="e">
        <f ca="1">(OFFSET($B$5,SUM($W$6:$W20),)-OFFSET($B$5,SUM($W$6:$W20)-1,))+(OFFSET($B$5,SUM($W$6:$W20)-2,)-OFFSET($B$5,SUM($W$6:$W20)-3,))+(OFFSET($B$5,SUM($W$6:$W20)-4,)-OFFSET($B$5,SUM($W$6:$W20)-5,))+(OFFSET($B$5,SUM($W$6:$W20)-6,)-OFFSET($B$5,SUM($W$6:$W20)-7,))+(OFFSET($B$5,SUM($W$6:$W20)-8,)-OFFSET($B$5,SUM($W$6:$W20)-9,))</f>
        <v>#VALUE!</v>
      </c>
      <c r="AD20" s="439" t="e">
        <f ca="1">(OFFSET($B$5,SUM($W$6:$W20),)-OFFSET($B$5,SUM($W$6:$W20)-1,))+(OFFSET($B$5,SUM($W$6:$W20)-2,)-OFFSET($B$5,SUM($W$6:$W20)-3,))+(OFFSET($B$5,SUM($W$6:$W20)-4,)-OFFSET($B$5,SUM($W$6:$W20)-5,))+(OFFSET($B$5,SUM($W$6:$W20)-6,)-OFFSET($B$5,SUM($W$6:$W20)-7,))</f>
        <v>#VALUE!</v>
      </c>
      <c r="AE20" s="439" t="e">
        <f ca="1">(OFFSET($B$5,SUM($W$6:$W20),)-OFFSET($B$5,SUM($W$6:$W20)-1,))+(OFFSET($B$5,SUM($W$6:$W20)-2,)-OFFSET($B$5,SUM($W$6:$W20)-3,))+(OFFSET($B$5,SUM($W$6:$W20)-4,)-OFFSET($B$5,SUM($W$6:$W20)-5,))</f>
        <v>#VALUE!</v>
      </c>
      <c r="AF20" s="439" t="e">
        <f ca="1">(OFFSET($B$5,SUM($W$6:$W20),)-OFFSET($B$5,SUM($W$6:$W20)-1,))+(OFFSET($B$5,SUM($W$6:$W20)-2,)-OFFSET($B$5,SUM($W$6:$W20)-3,))</f>
        <v>#VALUE!</v>
      </c>
      <c r="AG20" s="439" t="e">
        <f ca="1">(OFFSET($B$5,SUM($W$6:$W20),)-OFFSET($B$5,SUM($W$6:$W20)-1,))</f>
        <v>#VALUE!</v>
      </c>
      <c r="AH20" s="439" t="e">
        <f ca="1">(OFFSET($B$5,SUM($W$6:$W20)-1,)-OFFSET($B$5,SUM($W$6:$W20)-2,))+(OFFSET($B$5,SUM($W$6:$W20)-3,)-OFFSET($B$5,SUM($W$6:$W20)-4,))+(OFFSET($B$5,SUM($W$6:$W20)-5,)-OFFSET($B$5,SUM($W$6:$W20)-6,))+(OFFSET($B$5,SUM($W$6:$W20)-7,)-OFFSET($B$5,SUM($W$6:$W20)-8,))+(OFFSET($B$5,SUM($W$6:$W20)-9,)-OFFSET($B$5,SUM($W$6:$W20)-10,))</f>
        <v>#REF!</v>
      </c>
      <c r="AI20" s="439" t="e">
        <f ca="1">(OFFSET($B$5,SUM($W$6:$W20)-1,)-OFFSET($B$5,SUM($W$6:$W20)-2,))+(OFFSET($B$5,SUM($W$6:$W20)-3,)-OFFSET($B$5,SUM($W$6:$W20)-4,))+(OFFSET($B$5,SUM($W$6:$W20)-5,)-OFFSET($B$5,SUM($W$6:$W20)-6,))+(OFFSET($B$5,SUM($W$6:$W20)-7,)-OFFSET($B$5,SUM($W$6:$W20)-8,))</f>
        <v>#REF!</v>
      </c>
      <c r="AJ20" s="439" t="e">
        <f ca="1">(OFFSET($B$5,SUM($W$6:$W20)-1,)-OFFSET($B$5,SUM($W$6:$W20)-2,))+(OFFSET($B$5,SUM($W$6:$W20)-3,)-OFFSET($B$5,SUM($W$6:$W20)-4,))+(OFFSET($B$5,SUM($W$6:$W20)-5,)-OFFSET($B$5,SUM($W$6:$W20)-6,))</f>
        <v>#REF!</v>
      </c>
      <c r="AK20" s="439">
        <f ca="1">(OFFSET($B$5,SUM($W$6:$W20)-1,)-OFFSET($B$5,SUM($W$6:$W20)-2,))+(OFFSET($B$5,SUM($W$6:$W20)-3,)-OFFSET($B$5,SUM($W$6:$W20)-4,))</f>
        <v>0</v>
      </c>
      <c r="AL20" s="439">
        <f ca="1">(OFFSET($B$5,SUM($W$6:$W20)-1,)-OFFSET($B$5,SUM($W$6:$W20)-2,))</f>
        <v>0</v>
      </c>
      <c r="AM20" s="433">
        <v>0.58333333333333304</v>
      </c>
    </row>
    <row r="21" spans="2:39" x14ac:dyDescent="0.25">
      <c r="B21" s="338"/>
      <c r="C21" s="57"/>
      <c r="F21" s="368">
        <v>44392</v>
      </c>
      <c r="G21" s="410">
        <f t="shared" si="0"/>
        <v>44392</v>
      </c>
      <c r="H21" s="386">
        <f t="shared" si="17"/>
        <v>0</v>
      </c>
      <c r="I21" s="386">
        <f t="shared" ca="1" si="18"/>
        <v>-0.33333333333333331</v>
      </c>
      <c r="J21" s="411">
        <f t="shared" ref="J21:J23" ca="1" si="19">I21+J20</f>
        <v>-4</v>
      </c>
      <c r="K21" s="426"/>
      <c r="L21" s="60"/>
      <c r="T21" s="438">
        <f t="shared" si="6"/>
        <v>0</v>
      </c>
      <c r="U21" s="439" t="b">
        <f t="shared" si="7"/>
        <v>0</v>
      </c>
      <c r="V21" s="440" t="b">
        <f t="shared" si="8"/>
        <v>0</v>
      </c>
      <c r="W21" s="437">
        <f t="shared" si="2"/>
        <v>0</v>
      </c>
      <c r="X21" s="439">
        <f t="shared" si="9"/>
        <v>0</v>
      </c>
      <c r="Y21" s="439">
        <f t="shared" si="10"/>
        <v>0</v>
      </c>
      <c r="Z21" s="439">
        <f t="shared" si="13"/>
        <v>0</v>
      </c>
      <c r="AA21" s="439" t="e">
        <f ca="1">(OFFSET($B$5,SUM($W$6:$W21),)-OFFSET($B$5,(SUM($W$6:$W21)-SUM($W21:$W21)+1),))</f>
        <v>#VALUE!</v>
      </c>
      <c r="AB21" s="439" t="e">
        <f ca="1">(OFFSET($B$5,SUM($W$6:$W21),)-OFFSET($B$5,SUM($W$6:$W21)-1,))+(OFFSET($B$5,SUM($W$6:$W21)-2,)-OFFSET($B$5,SUM($W$6:$W21)-3,))+(OFFSET($B$5,SUM($W$6:$W21)-4,)-OFFSET($B$5,SUM($W$6:$W21)-5,))+(OFFSET($B$5,SUM($W$6:$W21)-6,)-OFFSET($B$5,SUM($W$6:$W21)-7,))+(OFFSET($B$5,SUM($W$6:$W21)-8,)-OFFSET($B$5,SUM($W$6:$W21)-9,))+(OFFSET($B$5,SUM($W$6:$W21)-10,)-OFFSET($B$5,SUM($W$6:$W21)-11,))</f>
        <v>#VALUE!</v>
      </c>
      <c r="AC21" s="439" t="e">
        <f ca="1">(OFFSET($B$5,SUM($W$6:$W21),)-OFFSET($B$5,SUM($W$6:$W21)-1,))+(OFFSET($B$5,SUM($W$6:$W21)-2,)-OFFSET($B$5,SUM($W$6:$W21)-3,))+(OFFSET($B$5,SUM($W$6:$W21)-4,)-OFFSET($B$5,SUM($W$6:$W21)-5,))+(OFFSET($B$5,SUM($W$6:$W21)-6,)-OFFSET($B$5,SUM($W$6:$W21)-7,))+(OFFSET($B$5,SUM($W$6:$W21)-8,)-OFFSET($B$5,SUM($W$6:$W21)-9,))</f>
        <v>#VALUE!</v>
      </c>
      <c r="AD21" s="439" t="e">
        <f ca="1">(OFFSET($B$5,SUM($W$6:$W21),)-OFFSET($B$5,SUM($W$6:$W21)-1,))+(OFFSET($B$5,SUM($W$6:$W21)-2,)-OFFSET($B$5,SUM($W$6:$W21)-3,))+(OFFSET($B$5,SUM($W$6:$W21)-4,)-OFFSET($B$5,SUM($W$6:$W21)-5,))+(OFFSET($B$5,SUM($W$6:$W21)-6,)-OFFSET($B$5,SUM($W$6:$W21)-7,))</f>
        <v>#VALUE!</v>
      </c>
      <c r="AE21" s="439" t="e">
        <f ca="1">(OFFSET($B$5,SUM($W$6:$W21),)-OFFSET($B$5,SUM($W$6:$W21)-1,))+(OFFSET($B$5,SUM($W$6:$W21)-2,)-OFFSET($B$5,SUM($W$6:$W21)-3,))+(OFFSET($B$5,SUM($W$6:$W21)-4,)-OFFSET($B$5,SUM($W$6:$W21)-5,))</f>
        <v>#VALUE!</v>
      </c>
      <c r="AF21" s="439" t="e">
        <f ca="1">(OFFSET($B$5,SUM($W$6:$W21),)-OFFSET($B$5,SUM($W$6:$W21)-1,))+(OFFSET($B$5,SUM($W$6:$W21)-2,)-OFFSET($B$5,SUM($W$6:$W21)-3,))</f>
        <v>#VALUE!</v>
      </c>
      <c r="AG21" s="439" t="e">
        <f ca="1">(OFFSET($B$5,SUM($W$6:$W21),)-OFFSET($B$5,SUM($W$6:$W21)-1,))</f>
        <v>#VALUE!</v>
      </c>
      <c r="AH21" s="439" t="e">
        <f ca="1">(OFFSET($B$5,SUM($W$6:$W21)-1,)-OFFSET($B$5,SUM($W$6:$W21)-2,))+(OFFSET($B$5,SUM($W$6:$W21)-3,)-OFFSET($B$5,SUM($W$6:$W21)-4,))+(OFFSET($B$5,SUM($W$6:$W21)-5,)-OFFSET($B$5,SUM($W$6:$W21)-6,))+(OFFSET($B$5,SUM($W$6:$W21)-7,)-OFFSET($B$5,SUM($W$6:$W21)-8,))+(OFFSET($B$5,SUM($W$6:$W21)-9,)-OFFSET($B$5,SUM($W$6:$W21)-10,))</f>
        <v>#REF!</v>
      </c>
      <c r="AI21" s="439" t="e">
        <f ca="1">(OFFSET($B$5,SUM($W$6:$W21)-1,)-OFFSET($B$5,SUM($W$6:$W21)-2,))+(OFFSET($B$5,SUM($W$6:$W21)-3,)-OFFSET($B$5,SUM($W$6:$W21)-4,))+(OFFSET($B$5,SUM($W$6:$W21)-5,)-OFFSET($B$5,SUM($W$6:$W21)-6,))+(OFFSET($B$5,SUM($W$6:$W21)-7,)-OFFSET($B$5,SUM($W$6:$W21)-8,))</f>
        <v>#REF!</v>
      </c>
      <c r="AJ21" s="439" t="e">
        <f ca="1">(OFFSET($B$5,SUM($W$6:$W21)-1,)-OFFSET($B$5,SUM($W$6:$W21)-2,))+(OFFSET($B$5,SUM($W$6:$W21)-3,)-OFFSET($B$5,SUM($W$6:$W21)-4,))+(OFFSET($B$5,SUM($W$6:$W21)-5,)-OFFSET($B$5,SUM($W$6:$W21)-6,))</f>
        <v>#REF!</v>
      </c>
      <c r="AK21" s="439">
        <f ca="1">(OFFSET($B$5,SUM($W$6:$W21)-1,)-OFFSET($B$5,SUM($W$6:$W21)-2,))+(OFFSET($B$5,SUM($W$6:$W21)-3,)-OFFSET($B$5,SUM($W$6:$W21)-4,))</f>
        <v>0</v>
      </c>
      <c r="AL21" s="439">
        <f ca="1">(OFFSET($B$5,SUM($W$6:$W21)-1,)-OFFSET($B$5,SUM($W$6:$W21)-2,))</f>
        <v>0</v>
      </c>
      <c r="AM21" s="433">
        <v>0.625</v>
      </c>
    </row>
    <row r="22" spans="2:39" x14ac:dyDescent="0.25">
      <c r="B22" s="338"/>
      <c r="C22" s="57"/>
      <c r="F22" s="368">
        <v>44393</v>
      </c>
      <c r="G22" s="410">
        <f t="shared" si="0"/>
        <v>44393</v>
      </c>
      <c r="H22" s="386">
        <f t="shared" si="17"/>
        <v>0</v>
      </c>
      <c r="I22" s="386">
        <f t="shared" ca="1" si="18"/>
        <v>-0.33333333333333331</v>
      </c>
      <c r="J22" s="411">
        <f t="shared" ca="1" si="19"/>
        <v>-4.333333333333333</v>
      </c>
      <c r="K22" s="426"/>
      <c r="L22" s="60"/>
      <c r="T22" s="438">
        <f t="shared" si="6"/>
        <v>0</v>
      </c>
      <c r="U22" s="439" t="b">
        <f t="shared" si="7"/>
        <v>0</v>
      </c>
      <c r="V22" s="440" t="b">
        <f t="shared" si="8"/>
        <v>0</v>
      </c>
      <c r="W22" s="437">
        <f t="shared" si="2"/>
        <v>0</v>
      </c>
      <c r="X22" s="439">
        <f t="shared" si="9"/>
        <v>0</v>
      </c>
      <c r="Y22" s="439">
        <f t="shared" si="10"/>
        <v>0</v>
      </c>
      <c r="Z22" s="439">
        <f t="shared" si="13"/>
        <v>0</v>
      </c>
      <c r="AA22" s="439" t="e">
        <f ca="1">(OFFSET($B$5,SUM($W$6:$W22),)-OFFSET($B$5,(SUM($W$6:$W22)-SUM($W22:$W22)+1),))</f>
        <v>#VALUE!</v>
      </c>
      <c r="AB22" s="439" t="e">
        <f ca="1">(OFFSET($B$5,SUM($W$6:$W22),)-OFFSET($B$5,SUM($W$6:$W22)-1,))+(OFFSET($B$5,SUM($W$6:$W22)-2,)-OFFSET($B$5,SUM($W$6:$W22)-3,))+(OFFSET($B$5,SUM($W$6:$W22)-4,)-OFFSET($B$5,SUM($W$6:$W22)-5,))+(OFFSET($B$5,SUM($W$6:$W22)-6,)-OFFSET($B$5,SUM($W$6:$W22)-7,))+(OFFSET($B$5,SUM($W$6:$W22)-8,)-OFFSET($B$5,SUM($W$6:$W22)-9,))+(OFFSET($B$5,SUM($W$6:$W22)-10,)-OFFSET($B$5,SUM($W$6:$W22)-11,))</f>
        <v>#VALUE!</v>
      </c>
      <c r="AC22" s="439" t="e">
        <f ca="1">(OFFSET($B$5,SUM($W$6:$W22),)-OFFSET($B$5,SUM($W$6:$W22)-1,))+(OFFSET($B$5,SUM($W$6:$W22)-2,)-OFFSET($B$5,SUM($W$6:$W22)-3,))+(OFFSET($B$5,SUM($W$6:$W22)-4,)-OFFSET($B$5,SUM($W$6:$W22)-5,))+(OFFSET($B$5,SUM($W$6:$W22)-6,)-OFFSET($B$5,SUM($W$6:$W22)-7,))+(OFFSET($B$5,SUM($W$6:$W22)-8,)-OFFSET($B$5,SUM($W$6:$W22)-9,))</f>
        <v>#VALUE!</v>
      </c>
      <c r="AD22" s="439" t="e">
        <f ca="1">(OFFSET($B$5,SUM($W$6:$W22),)-OFFSET($B$5,SUM($W$6:$W22)-1,))+(OFFSET($B$5,SUM($W$6:$W22)-2,)-OFFSET($B$5,SUM($W$6:$W22)-3,))+(OFFSET($B$5,SUM($W$6:$W22)-4,)-OFFSET($B$5,SUM($W$6:$W22)-5,))+(OFFSET($B$5,SUM($W$6:$W22)-6,)-OFFSET($B$5,SUM($W$6:$W22)-7,))</f>
        <v>#VALUE!</v>
      </c>
      <c r="AE22" s="439" t="e">
        <f ca="1">(OFFSET($B$5,SUM($W$6:$W22),)-OFFSET($B$5,SUM($W$6:$W22)-1,))+(OFFSET($B$5,SUM($W$6:$W22)-2,)-OFFSET($B$5,SUM($W$6:$W22)-3,))+(OFFSET($B$5,SUM($W$6:$W22)-4,)-OFFSET($B$5,SUM($W$6:$W22)-5,))</f>
        <v>#VALUE!</v>
      </c>
      <c r="AF22" s="439" t="e">
        <f ca="1">(OFFSET($B$5,SUM($W$6:$W22),)-OFFSET($B$5,SUM($W$6:$W22)-1,))+(OFFSET($B$5,SUM($W$6:$W22)-2,)-OFFSET($B$5,SUM($W$6:$W22)-3,))</f>
        <v>#VALUE!</v>
      </c>
      <c r="AG22" s="439" t="e">
        <f ca="1">(OFFSET($B$5,SUM($W$6:$W22),)-OFFSET($B$5,SUM($W$6:$W22)-1,))</f>
        <v>#VALUE!</v>
      </c>
      <c r="AH22" s="439" t="e">
        <f ca="1">(OFFSET($B$5,SUM($W$6:$W22)-1,)-OFFSET($B$5,SUM($W$6:$W22)-2,))+(OFFSET($B$5,SUM($W$6:$W22)-3,)-OFFSET($B$5,SUM($W$6:$W22)-4,))+(OFFSET($B$5,SUM($W$6:$W22)-5,)-OFFSET($B$5,SUM($W$6:$W22)-6,))+(OFFSET($B$5,SUM($W$6:$W22)-7,)-OFFSET($B$5,SUM($W$6:$W22)-8,))+(OFFSET($B$5,SUM($W$6:$W22)-9,)-OFFSET($B$5,SUM($W$6:$W22)-10,))</f>
        <v>#REF!</v>
      </c>
      <c r="AI22" s="439" t="e">
        <f ca="1">(OFFSET($B$5,SUM($W$6:$W22)-1,)-OFFSET($B$5,SUM($W$6:$W22)-2,))+(OFFSET($B$5,SUM($W$6:$W22)-3,)-OFFSET($B$5,SUM($W$6:$W22)-4,))+(OFFSET($B$5,SUM($W$6:$W22)-5,)-OFFSET($B$5,SUM($W$6:$W22)-6,))+(OFFSET($B$5,SUM($W$6:$W22)-7,)-OFFSET($B$5,SUM($W$6:$W22)-8,))</f>
        <v>#REF!</v>
      </c>
      <c r="AJ22" s="439" t="e">
        <f ca="1">(OFFSET($B$5,SUM($W$6:$W22)-1,)-OFFSET($B$5,SUM($W$6:$W22)-2,))+(OFFSET($B$5,SUM($W$6:$W22)-3,)-OFFSET($B$5,SUM($W$6:$W22)-4,))+(OFFSET($B$5,SUM($W$6:$W22)-5,)-OFFSET($B$5,SUM($W$6:$W22)-6,))</f>
        <v>#REF!</v>
      </c>
      <c r="AK22" s="439">
        <f ca="1">(OFFSET($B$5,SUM($W$6:$W22)-1,)-OFFSET($B$5,SUM($W$6:$W22)-2,))+(OFFSET($B$5,SUM($W$6:$W22)-3,)-OFFSET($B$5,SUM($W$6:$W22)-4,))</f>
        <v>0</v>
      </c>
      <c r="AL22" s="439">
        <f ca="1">(OFFSET($B$5,SUM($W$6:$W22)-1,)-OFFSET($B$5,SUM($W$6:$W22)-2,))</f>
        <v>0</v>
      </c>
      <c r="AM22" s="433">
        <v>0.66666666666666696</v>
      </c>
    </row>
    <row r="23" spans="2:39" x14ac:dyDescent="0.25">
      <c r="B23" s="338"/>
      <c r="C23" s="57"/>
      <c r="F23" s="368">
        <v>44394</v>
      </c>
      <c r="G23" s="410">
        <f t="shared" si="0"/>
        <v>44394</v>
      </c>
      <c r="H23" s="386">
        <f t="shared" si="17"/>
        <v>0</v>
      </c>
      <c r="I23" s="386">
        <f t="shared" ca="1" si="18"/>
        <v>-0.33333333333333331</v>
      </c>
      <c r="J23" s="411">
        <f t="shared" ca="1" si="19"/>
        <v>-4.6666666666666661</v>
      </c>
      <c r="K23" s="426"/>
      <c r="L23" s="60"/>
      <c r="T23" s="438">
        <f t="shared" si="6"/>
        <v>0</v>
      </c>
      <c r="U23" s="439" t="b">
        <f t="shared" si="7"/>
        <v>0</v>
      </c>
      <c r="V23" s="440" t="b">
        <f t="shared" si="8"/>
        <v>0</v>
      </c>
      <c r="W23" s="437">
        <f t="shared" si="2"/>
        <v>0</v>
      </c>
      <c r="X23" s="439">
        <f t="shared" si="9"/>
        <v>0</v>
      </c>
      <c r="Y23" s="439">
        <f t="shared" si="10"/>
        <v>0</v>
      </c>
      <c r="Z23" s="439">
        <f t="shared" si="13"/>
        <v>0</v>
      </c>
      <c r="AA23" s="439" t="e">
        <f ca="1">(OFFSET($B$5,SUM($W$6:$W23),)-OFFSET($B$5,(SUM($W$6:$W23)-SUM($W23:$W23)+1),))</f>
        <v>#VALUE!</v>
      </c>
      <c r="AB23" s="439" t="e">
        <f ca="1">(OFFSET($B$5,SUM($W$6:$W23),)-OFFSET($B$5,SUM($W$6:$W23)-1,))+(OFFSET($B$5,SUM($W$6:$W23)-2,)-OFFSET($B$5,SUM($W$6:$W23)-3,))+(OFFSET($B$5,SUM($W$6:$W23)-4,)-OFFSET($B$5,SUM($W$6:$W23)-5,))+(OFFSET($B$5,SUM($W$6:$W23)-6,)-OFFSET($B$5,SUM($W$6:$W23)-7,))+(OFFSET($B$5,SUM($W$6:$W23)-8,)-OFFSET($B$5,SUM($W$6:$W23)-9,))+(OFFSET($B$5,SUM($W$6:$W23)-10,)-OFFSET($B$5,SUM($W$6:$W23)-11,))</f>
        <v>#VALUE!</v>
      </c>
      <c r="AC23" s="439" t="e">
        <f ca="1">(OFFSET($B$5,SUM($W$6:$W23),)-OFFSET($B$5,SUM($W$6:$W23)-1,))+(OFFSET($B$5,SUM($W$6:$W23)-2,)-OFFSET($B$5,SUM($W$6:$W23)-3,))+(OFFSET($B$5,SUM($W$6:$W23)-4,)-OFFSET($B$5,SUM($W$6:$W23)-5,))+(OFFSET($B$5,SUM($W$6:$W23)-6,)-OFFSET($B$5,SUM($W$6:$W23)-7,))+(OFFSET($B$5,SUM($W$6:$W23)-8,)-OFFSET($B$5,SUM($W$6:$W23)-9,))</f>
        <v>#VALUE!</v>
      </c>
      <c r="AD23" s="439" t="e">
        <f ca="1">(OFFSET($B$5,SUM($W$6:$W23),)-OFFSET($B$5,SUM($W$6:$W23)-1,))+(OFFSET($B$5,SUM($W$6:$W23)-2,)-OFFSET($B$5,SUM($W$6:$W23)-3,))+(OFFSET($B$5,SUM($W$6:$W23)-4,)-OFFSET($B$5,SUM($W$6:$W23)-5,))+(OFFSET($B$5,SUM($W$6:$W23)-6,)-OFFSET($B$5,SUM($W$6:$W23)-7,))</f>
        <v>#VALUE!</v>
      </c>
      <c r="AE23" s="439" t="e">
        <f ca="1">(OFFSET($B$5,SUM($W$6:$W23),)-OFFSET($B$5,SUM($W$6:$W23)-1,))+(OFFSET($B$5,SUM($W$6:$W23)-2,)-OFFSET($B$5,SUM($W$6:$W23)-3,))+(OFFSET($B$5,SUM($W$6:$W23)-4,)-OFFSET($B$5,SUM($W$6:$W23)-5,))</f>
        <v>#VALUE!</v>
      </c>
      <c r="AF23" s="439" t="e">
        <f ca="1">(OFFSET($B$5,SUM($W$6:$W23),)-OFFSET($B$5,SUM($W$6:$W23)-1,))+(OFFSET($B$5,SUM($W$6:$W23)-2,)-OFFSET($B$5,SUM($W$6:$W23)-3,))</f>
        <v>#VALUE!</v>
      </c>
      <c r="AG23" s="439" t="e">
        <f ca="1">(OFFSET($B$5,SUM($W$6:$W23),)-OFFSET($B$5,SUM($W$6:$W23)-1,))</f>
        <v>#VALUE!</v>
      </c>
      <c r="AH23" s="439" t="e">
        <f ca="1">(OFFSET($B$5,SUM($W$6:$W23)-1,)-OFFSET($B$5,SUM($W$6:$W23)-2,))+(OFFSET($B$5,SUM($W$6:$W23)-3,)-OFFSET($B$5,SUM($W$6:$W23)-4,))+(OFFSET($B$5,SUM($W$6:$W23)-5,)-OFFSET($B$5,SUM($W$6:$W23)-6,))+(OFFSET($B$5,SUM($W$6:$W23)-7,)-OFFSET($B$5,SUM($W$6:$W23)-8,))+(OFFSET($B$5,SUM($W$6:$W23)-9,)-OFFSET($B$5,SUM($W$6:$W23)-10,))</f>
        <v>#REF!</v>
      </c>
      <c r="AI23" s="439" t="e">
        <f ca="1">(OFFSET($B$5,SUM($W$6:$W23)-1,)-OFFSET($B$5,SUM($W$6:$W23)-2,))+(OFFSET($B$5,SUM($W$6:$W23)-3,)-OFFSET($B$5,SUM($W$6:$W23)-4,))+(OFFSET($B$5,SUM($W$6:$W23)-5,)-OFFSET($B$5,SUM($W$6:$W23)-6,))+(OFFSET($B$5,SUM($W$6:$W23)-7,)-OFFSET($B$5,SUM($W$6:$W23)-8,))</f>
        <v>#REF!</v>
      </c>
      <c r="AJ23" s="439" t="e">
        <f ca="1">(OFFSET($B$5,SUM($W$6:$W23)-1,)-OFFSET($B$5,SUM($W$6:$W23)-2,))+(OFFSET($B$5,SUM($W$6:$W23)-3,)-OFFSET($B$5,SUM($W$6:$W23)-4,))+(OFFSET($B$5,SUM($W$6:$W23)-5,)-OFFSET($B$5,SUM($W$6:$W23)-6,))</f>
        <v>#REF!</v>
      </c>
      <c r="AK23" s="439">
        <f ca="1">(OFFSET($B$5,SUM($W$6:$W23)-1,)-OFFSET($B$5,SUM($W$6:$W23)-2,))+(OFFSET($B$5,SUM($W$6:$W23)-3,)-OFFSET($B$5,SUM($W$6:$W23)-4,))</f>
        <v>0</v>
      </c>
      <c r="AL23" s="439">
        <f ca="1">(OFFSET($B$5,SUM($W$6:$W23)-1,)-OFFSET($B$5,SUM($W$6:$W23)-2,))</f>
        <v>0</v>
      </c>
      <c r="AM23" s="433">
        <v>0.70833333333333304</v>
      </c>
    </row>
    <row r="24" spans="2:39" x14ac:dyDescent="0.25">
      <c r="B24" s="338"/>
      <c r="C24" s="57"/>
      <c r="F24" s="368">
        <v>44395</v>
      </c>
      <c r="G24" s="412">
        <f t="shared" si="0"/>
        <v>44395</v>
      </c>
      <c r="H24" s="389"/>
      <c r="I24" s="389"/>
      <c r="J24" s="390"/>
      <c r="K24" s="426"/>
      <c r="L24" s="60"/>
      <c r="T24" s="438">
        <f t="shared" si="6"/>
        <v>0</v>
      </c>
      <c r="U24" s="439" t="b">
        <f t="shared" si="7"/>
        <v>0</v>
      </c>
      <c r="V24" s="440" t="b">
        <f t="shared" si="8"/>
        <v>0</v>
      </c>
      <c r="W24" s="437">
        <f t="shared" si="2"/>
        <v>0</v>
      </c>
      <c r="X24" s="439">
        <f t="shared" si="9"/>
        <v>0</v>
      </c>
      <c r="Y24" s="439">
        <f t="shared" si="10"/>
        <v>0</v>
      </c>
      <c r="Z24" s="439">
        <f t="shared" si="13"/>
        <v>0</v>
      </c>
      <c r="AA24" s="439" t="e">
        <f ca="1">(OFFSET($B$5,SUM($W$6:$W24),)-OFFSET($B$5,(SUM($W$6:$W24)-SUM($W24:$W24)+1),))</f>
        <v>#VALUE!</v>
      </c>
      <c r="AB24" s="439" t="e">
        <f ca="1">(OFFSET($B$5,SUM($W$6:$W24),)-OFFSET($B$5,SUM($W$6:$W24)-1,))+(OFFSET($B$5,SUM($W$6:$W24)-2,)-OFFSET($B$5,SUM($W$6:$W24)-3,))+(OFFSET($B$5,SUM($W$6:$W24)-4,)-OFFSET($B$5,SUM($W$6:$W24)-5,))+(OFFSET($B$5,SUM($W$6:$W24)-6,)-OFFSET($B$5,SUM($W$6:$W24)-7,))+(OFFSET($B$5,SUM($W$6:$W24)-8,)-OFFSET($B$5,SUM($W$6:$W24)-9,))+(OFFSET($B$5,SUM($W$6:$W24)-10,)-OFFSET($B$5,SUM($W$6:$W24)-11,))</f>
        <v>#VALUE!</v>
      </c>
      <c r="AC24" s="439" t="e">
        <f ca="1">(OFFSET($B$5,SUM($W$6:$W24),)-OFFSET($B$5,SUM($W$6:$W24)-1,))+(OFFSET($B$5,SUM($W$6:$W24)-2,)-OFFSET($B$5,SUM($W$6:$W24)-3,))+(OFFSET($B$5,SUM($W$6:$W24)-4,)-OFFSET($B$5,SUM($W$6:$W24)-5,))+(OFFSET($B$5,SUM($W$6:$W24)-6,)-OFFSET($B$5,SUM($W$6:$W24)-7,))+(OFFSET($B$5,SUM($W$6:$W24)-8,)-OFFSET($B$5,SUM($W$6:$W24)-9,))</f>
        <v>#VALUE!</v>
      </c>
      <c r="AD24" s="439" t="e">
        <f ca="1">(OFFSET($B$5,SUM($W$6:$W24),)-OFFSET($B$5,SUM($W$6:$W24)-1,))+(OFFSET($B$5,SUM($W$6:$W24)-2,)-OFFSET($B$5,SUM($W$6:$W24)-3,))+(OFFSET($B$5,SUM($W$6:$W24)-4,)-OFFSET($B$5,SUM($W$6:$W24)-5,))+(OFFSET($B$5,SUM($W$6:$W24)-6,)-OFFSET($B$5,SUM($W$6:$W24)-7,))</f>
        <v>#VALUE!</v>
      </c>
      <c r="AE24" s="439" t="e">
        <f ca="1">(OFFSET($B$5,SUM($W$6:$W24),)-OFFSET($B$5,SUM($W$6:$W24)-1,))+(OFFSET($B$5,SUM($W$6:$W24)-2,)-OFFSET($B$5,SUM($W$6:$W24)-3,))+(OFFSET($B$5,SUM($W$6:$W24)-4,)-OFFSET($B$5,SUM($W$6:$W24)-5,))</f>
        <v>#VALUE!</v>
      </c>
      <c r="AF24" s="439" t="e">
        <f ca="1">(OFFSET($B$5,SUM($W$6:$W24),)-OFFSET($B$5,SUM($W$6:$W24)-1,))+(OFFSET($B$5,SUM($W$6:$W24)-2,)-OFFSET($B$5,SUM($W$6:$W24)-3,))</f>
        <v>#VALUE!</v>
      </c>
      <c r="AG24" s="439" t="e">
        <f ca="1">(OFFSET($B$5,SUM($W$6:$W24),)-OFFSET($B$5,SUM($W$6:$W24)-1,))</f>
        <v>#VALUE!</v>
      </c>
      <c r="AH24" s="439" t="e">
        <f ca="1">(OFFSET($B$5,SUM($W$6:$W24)-1,)-OFFSET($B$5,SUM($W$6:$W24)-2,))+(OFFSET($B$5,SUM($W$6:$W24)-3,)-OFFSET($B$5,SUM($W$6:$W24)-4,))+(OFFSET($B$5,SUM($W$6:$W24)-5,)-OFFSET($B$5,SUM($W$6:$W24)-6,))+(OFFSET($B$5,SUM($W$6:$W24)-7,)-OFFSET($B$5,SUM($W$6:$W24)-8,))+(OFFSET($B$5,SUM($W$6:$W24)-9,)-OFFSET($B$5,SUM($W$6:$W24)-10,))</f>
        <v>#REF!</v>
      </c>
      <c r="AI24" s="439" t="e">
        <f ca="1">(OFFSET($B$5,SUM($W$6:$W24)-1,)-OFFSET($B$5,SUM($W$6:$W24)-2,))+(OFFSET($B$5,SUM($W$6:$W24)-3,)-OFFSET($B$5,SUM($W$6:$W24)-4,))+(OFFSET($B$5,SUM($W$6:$W24)-5,)-OFFSET($B$5,SUM($W$6:$W24)-6,))+(OFFSET($B$5,SUM($W$6:$W24)-7,)-OFFSET($B$5,SUM($W$6:$W24)-8,))</f>
        <v>#REF!</v>
      </c>
      <c r="AJ24" s="439" t="e">
        <f ca="1">(OFFSET($B$5,SUM($W$6:$W24)-1,)-OFFSET($B$5,SUM($W$6:$W24)-2,))+(OFFSET($B$5,SUM($W$6:$W24)-3,)-OFFSET($B$5,SUM($W$6:$W24)-4,))+(OFFSET($B$5,SUM($W$6:$W24)-5,)-OFFSET($B$5,SUM($W$6:$W24)-6,))</f>
        <v>#REF!</v>
      </c>
      <c r="AK24" s="439">
        <f ca="1">(OFFSET($B$5,SUM($W$6:$W24)-1,)-OFFSET($B$5,SUM($W$6:$W24)-2,))+(OFFSET($B$5,SUM($W$6:$W24)-3,)-OFFSET($B$5,SUM($W$6:$W24)-4,))</f>
        <v>0</v>
      </c>
      <c r="AL24" s="439">
        <f ca="1">(OFFSET($B$5,SUM($W$6:$W24)-1,)-OFFSET($B$5,SUM($W$6:$W24)-2,))</f>
        <v>0</v>
      </c>
      <c r="AM24" s="433">
        <v>0.75</v>
      </c>
    </row>
    <row r="25" spans="2:39" x14ac:dyDescent="0.25">
      <c r="B25" s="338"/>
      <c r="C25" s="57"/>
      <c r="F25" s="368">
        <v>44396</v>
      </c>
      <c r="G25" s="412">
        <f t="shared" si="0"/>
        <v>44396</v>
      </c>
      <c r="H25" s="389"/>
      <c r="I25" s="389"/>
      <c r="J25" s="390"/>
      <c r="K25" s="426"/>
      <c r="L25" s="60"/>
      <c r="T25" s="438">
        <f t="shared" si="6"/>
        <v>0</v>
      </c>
      <c r="U25" s="439" t="b">
        <f t="shared" si="7"/>
        <v>0</v>
      </c>
      <c r="V25" s="440" t="b">
        <f t="shared" si="8"/>
        <v>0</v>
      </c>
      <c r="W25" s="437">
        <f t="shared" si="2"/>
        <v>0</v>
      </c>
      <c r="X25" s="439">
        <f t="shared" si="9"/>
        <v>0</v>
      </c>
      <c r="Y25" s="439">
        <f t="shared" si="10"/>
        <v>0</v>
      </c>
      <c r="Z25" s="439">
        <f t="shared" si="13"/>
        <v>0</v>
      </c>
      <c r="AA25" s="439" t="e">
        <f ca="1">(OFFSET($B$5,SUM($W$6:$W25),)-OFFSET($B$5,(SUM($W$6:$W25)-SUM($W25:$W25)+1),))</f>
        <v>#VALUE!</v>
      </c>
      <c r="AB25" s="439" t="e">
        <f ca="1">(OFFSET($B$5,SUM($W$6:$W25),)-OFFSET($B$5,SUM($W$6:$W25)-1,))+(OFFSET($B$5,SUM($W$6:$W25)-2,)-OFFSET($B$5,SUM($W$6:$W25)-3,))+(OFFSET($B$5,SUM($W$6:$W25)-4,)-OFFSET($B$5,SUM($W$6:$W25)-5,))+(OFFSET($B$5,SUM($W$6:$W25)-6,)-OFFSET($B$5,SUM($W$6:$W25)-7,))+(OFFSET($B$5,SUM($W$6:$W25)-8,)-OFFSET($B$5,SUM($W$6:$W25)-9,))+(OFFSET($B$5,SUM($W$6:$W25)-10,)-OFFSET($B$5,SUM($W$6:$W25)-11,))</f>
        <v>#VALUE!</v>
      </c>
      <c r="AC25" s="439" t="e">
        <f ca="1">(OFFSET($B$5,SUM($W$6:$W25),)-OFFSET($B$5,SUM($W$6:$W25)-1,))+(OFFSET($B$5,SUM($W$6:$W25)-2,)-OFFSET($B$5,SUM($W$6:$W25)-3,))+(OFFSET($B$5,SUM($W$6:$W25)-4,)-OFFSET($B$5,SUM($W$6:$W25)-5,))+(OFFSET($B$5,SUM($W$6:$W25)-6,)-OFFSET($B$5,SUM($W$6:$W25)-7,))+(OFFSET($B$5,SUM($W$6:$W25)-8,)-OFFSET($B$5,SUM($W$6:$W25)-9,))</f>
        <v>#VALUE!</v>
      </c>
      <c r="AD25" s="439" t="e">
        <f ca="1">(OFFSET($B$5,SUM($W$6:$W25),)-OFFSET($B$5,SUM($W$6:$W25)-1,))+(OFFSET($B$5,SUM($W$6:$W25)-2,)-OFFSET($B$5,SUM($W$6:$W25)-3,))+(OFFSET($B$5,SUM($W$6:$W25)-4,)-OFFSET($B$5,SUM($W$6:$W25)-5,))+(OFFSET($B$5,SUM($W$6:$W25)-6,)-OFFSET($B$5,SUM($W$6:$W25)-7,))</f>
        <v>#VALUE!</v>
      </c>
      <c r="AE25" s="439" t="e">
        <f ca="1">(OFFSET($B$5,SUM($W$6:$W25),)-OFFSET($B$5,SUM($W$6:$W25)-1,))+(OFFSET($B$5,SUM($W$6:$W25)-2,)-OFFSET($B$5,SUM($W$6:$W25)-3,))+(OFFSET($B$5,SUM($W$6:$W25)-4,)-OFFSET($B$5,SUM($W$6:$W25)-5,))</f>
        <v>#VALUE!</v>
      </c>
      <c r="AF25" s="439" t="e">
        <f ca="1">(OFFSET($B$5,SUM($W$6:$W25),)-OFFSET($B$5,SUM($W$6:$W25)-1,))+(OFFSET($B$5,SUM($W$6:$W25)-2,)-OFFSET($B$5,SUM($W$6:$W25)-3,))</f>
        <v>#VALUE!</v>
      </c>
      <c r="AG25" s="439" t="e">
        <f ca="1">(OFFSET($B$5,SUM($W$6:$W25),)-OFFSET($B$5,SUM($W$6:$W25)-1,))</f>
        <v>#VALUE!</v>
      </c>
      <c r="AH25" s="439" t="e">
        <f ca="1">(OFFSET($B$5,SUM($W$6:$W25)-1,)-OFFSET($B$5,SUM($W$6:$W25)-2,))+(OFFSET($B$5,SUM($W$6:$W25)-3,)-OFFSET($B$5,SUM($W$6:$W25)-4,))+(OFFSET($B$5,SUM($W$6:$W25)-5,)-OFFSET($B$5,SUM($W$6:$W25)-6,))+(OFFSET($B$5,SUM($W$6:$W25)-7,)-OFFSET($B$5,SUM($W$6:$W25)-8,))+(OFFSET($B$5,SUM($W$6:$W25)-9,)-OFFSET($B$5,SUM($W$6:$W25)-10,))</f>
        <v>#REF!</v>
      </c>
      <c r="AI25" s="439" t="e">
        <f ca="1">(OFFSET($B$5,SUM($W$6:$W25)-1,)-OFFSET($B$5,SUM($W$6:$W25)-2,))+(OFFSET($B$5,SUM($W$6:$W25)-3,)-OFFSET($B$5,SUM($W$6:$W25)-4,))+(OFFSET($B$5,SUM($W$6:$W25)-5,)-OFFSET($B$5,SUM($W$6:$W25)-6,))+(OFFSET($B$5,SUM($W$6:$W25)-7,)-OFFSET($B$5,SUM($W$6:$W25)-8,))</f>
        <v>#REF!</v>
      </c>
      <c r="AJ25" s="439" t="e">
        <f ca="1">(OFFSET($B$5,SUM($W$6:$W25)-1,)-OFFSET($B$5,SUM($W$6:$W25)-2,))+(OFFSET($B$5,SUM($W$6:$W25)-3,)-OFFSET($B$5,SUM($W$6:$W25)-4,))+(OFFSET($B$5,SUM($W$6:$W25)-5,)-OFFSET($B$5,SUM($W$6:$W25)-6,))</f>
        <v>#REF!</v>
      </c>
      <c r="AK25" s="439">
        <f ca="1">(OFFSET($B$5,SUM($W$6:$W25)-1,)-OFFSET($B$5,SUM($W$6:$W25)-2,))+(OFFSET($B$5,SUM($W$6:$W25)-3,)-OFFSET($B$5,SUM($W$6:$W25)-4,))</f>
        <v>0</v>
      </c>
      <c r="AL25" s="439">
        <f ca="1">(OFFSET($B$5,SUM($W$6:$W25)-1,)-OFFSET($B$5,SUM($W$6:$W25)-2,))</f>
        <v>0</v>
      </c>
      <c r="AM25" s="433">
        <v>0.79166666666666696</v>
      </c>
    </row>
    <row r="26" spans="2:39" x14ac:dyDescent="0.25">
      <c r="B26" s="338"/>
      <c r="C26" s="57"/>
      <c r="F26" s="368">
        <v>44397</v>
      </c>
      <c r="G26" s="410">
        <f t="shared" si="0"/>
        <v>44397</v>
      </c>
      <c r="H26" s="386">
        <f t="shared" ref="H26:H30" si="20">X26</f>
        <v>0</v>
      </c>
      <c r="I26" s="386">
        <f t="shared" ref="I26:I30" ca="1" si="21">IFERROR(H26+T26+OFFSET($L$7,MATCH(F26,$K$8:$K$36,0),0)-$W$2,H26-$W$2)</f>
        <v>-0.33333333333333331</v>
      </c>
      <c r="J26" s="411">
        <f ca="1">I26+J23</f>
        <v>-4.9999999999999991</v>
      </c>
      <c r="K26" s="426"/>
      <c r="L26" s="60"/>
      <c r="T26" s="438">
        <f t="shared" si="6"/>
        <v>0</v>
      </c>
      <c r="U26" s="439" t="b">
        <f t="shared" si="7"/>
        <v>0</v>
      </c>
      <c r="V26" s="440" t="b">
        <f t="shared" si="8"/>
        <v>0</v>
      </c>
      <c r="W26" s="437">
        <f t="shared" si="2"/>
        <v>0</v>
      </c>
      <c r="X26" s="439">
        <f t="shared" si="9"/>
        <v>0</v>
      </c>
      <c r="Y26" s="439">
        <f t="shared" si="10"/>
        <v>0</v>
      </c>
      <c r="Z26" s="439">
        <f t="shared" si="13"/>
        <v>0</v>
      </c>
      <c r="AA26" s="439" t="e">
        <f ca="1">(OFFSET($B$5,SUM($W$6:$W26),)-OFFSET($B$5,(SUM($W$6:$W26)-SUM($W26:$W26)+1),))</f>
        <v>#VALUE!</v>
      </c>
      <c r="AB26" s="439" t="e">
        <f ca="1">(OFFSET($B$5,SUM($W$6:$W26),)-OFFSET($B$5,SUM($W$6:$W26)-1,))+(OFFSET($B$5,SUM($W$6:$W26)-2,)-OFFSET($B$5,SUM($W$6:$W26)-3,))+(OFFSET($B$5,SUM($W$6:$W26)-4,)-OFFSET($B$5,SUM($W$6:$W26)-5,))+(OFFSET($B$5,SUM($W$6:$W26)-6,)-OFFSET($B$5,SUM($W$6:$W26)-7,))+(OFFSET($B$5,SUM($W$6:$W26)-8,)-OFFSET($B$5,SUM($W$6:$W26)-9,))+(OFFSET($B$5,SUM($W$6:$W26)-10,)-OFFSET($B$5,SUM($W$6:$W26)-11,))</f>
        <v>#VALUE!</v>
      </c>
      <c r="AC26" s="439" t="e">
        <f ca="1">(OFFSET($B$5,SUM($W$6:$W26),)-OFFSET($B$5,SUM($W$6:$W26)-1,))+(OFFSET($B$5,SUM($W$6:$W26)-2,)-OFFSET($B$5,SUM($W$6:$W26)-3,))+(OFFSET($B$5,SUM($W$6:$W26)-4,)-OFFSET($B$5,SUM($W$6:$W26)-5,))+(OFFSET($B$5,SUM($W$6:$W26)-6,)-OFFSET($B$5,SUM($W$6:$W26)-7,))+(OFFSET($B$5,SUM($W$6:$W26)-8,)-OFFSET($B$5,SUM($W$6:$W26)-9,))</f>
        <v>#VALUE!</v>
      </c>
      <c r="AD26" s="439" t="e">
        <f ca="1">(OFFSET($B$5,SUM($W$6:$W26),)-OFFSET($B$5,SUM($W$6:$W26)-1,))+(OFFSET($B$5,SUM($W$6:$W26)-2,)-OFFSET($B$5,SUM($W$6:$W26)-3,))+(OFFSET($B$5,SUM($W$6:$W26)-4,)-OFFSET($B$5,SUM($W$6:$W26)-5,))+(OFFSET($B$5,SUM($W$6:$W26)-6,)-OFFSET($B$5,SUM($W$6:$W26)-7,))</f>
        <v>#VALUE!</v>
      </c>
      <c r="AE26" s="439" t="e">
        <f ca="1">(OFFSET($B$5,SUM($W$6:$W26),)-OFFSET($B$5,SUM($W$6:$W26)-1,))+(OFFSET($B$5,SUM($W$6:$W26)-2,)-OFFSET($B$5,SUM($W$6:$W26)-3,))+(OFFSET($B$5,SUM($W$6:$W26)-4,)-OFFSET($B$5,SUM($W$6:$W26)-5,))</f>
        <v>#VALUE!</v>
      </c>
      <c r="AF26" s="439" t="e">
        <f ca="1">(OFFSET($B$5,SUM($W$6:$W26),)-OFFSET($B$5,SUM($W$6:$W26)-1,))+(OFFSET($B$5,SUM($W$6:$W26)-2,)-OFFSET($B$5,SUM($W$6:$W26)-3,))</f>
        <v>#VALUE!</v>
      </c>
      <c r="AG26" s="439" t="e">
        <f ca="1">(OFFSET($B$5,SUM($W$6:$W26),)-OFFSET($B$5,SUM($W$6:$W26)-1,))</f>
        <v>#VALUE!</v>
      </c>
      <c r="AH26" s="439" t="e">
        <f ca="1">(OFFSET($B$5,SUM($W$6:$W26)-1,)-OFFSET($B$5,SUM($W$6:$W26)-2,))+(OFFSET($B$5,SUM($W$6:$W26)-3,)-OFFSET($B$5,SUM($W$6:$W26)-4,))+(OFFSET($B$5,SUM($W$6:$W26)-5,)-OFFSET($B$5,SUM($W$6:$W26)-6,))+(OFFSET($B$5,SUM($W$6:$W26)-7,)-OFFSET($B$5,SUM($W$6:$W26)-8,))+(OFFSET($B$5,SUM($W$6:$W26)-9,)-OFFSET($B$5,SUM($W$6:$W26)-10,))</f>
        <v>#REF!</v>
      </c>
      <c r="AI26" s="439" t="e">
        <f ca="1">(OFFSET($B$5,SUM($W$6:$W26)-1,)-OFFSET($B$5,SUM($W$6:$W26)-2,))+(OFFSET($B$5,SUM($W$6:$W26)-3,)-OFFSET($B$5,SUM($W$6:$W26)-4,))+(OFFSET($B$5,SUM($W$6:$W26)-5,)-OFFSET($B$5,SUM($W$6:$W26)-6,))+(OFFSET($B$5,SUM($W$6:$W26)-7,)-OFFSET($B$5,SUM($W$6:$W26)-8,))</f>
        <v>#REF!</v>
      </c>
      <c r="AJ26" s="439" t="e">
        <f ca="1">(OFFSET($B$5,SUM($W$6:$W26)-1,)-OFFSET($B$5,SUM($W$6:$W26)-2,))+(OFFSET($B$5,SUM($W$6:$W26)-3,)-OFFSET($B$5,SUM($W$6:$W26)-4,))+(OFFSET($B$5,SUM($W$6:$W26)-5,)-OFFSET($B$5,SUM($W$6:$W26)-6,))</f>
        <v>#REF!</v>
      </c>
      <c r="AK26" s="439">
        <f ca="1">(OFFSET($B$5,SUM($W$6:$W26)-1,)-OFFSET($B$5,SUM($W$6:$W26)-2,))+(OFFSET($B$5,SUM($W$6:$W26)-3,)-OFFSET($B$5,SUM($W$6:$W26)-4,))</f>
        <v>0</v>
      </c>
      <c r="AL26" s="439">
        <f ca="1">(OFFSET($B$5,SUM($W$6:$W26)-1,)-OFFSET($B$5,SUM($W$6:$W26)-2,))</f>
        <v>0</v>
      </c>
      <c r="AM26" s="433">
        <v>0.83333333333333304</v>
      </c>
    </row>
    <row r="27" spans="2:39" x14ac:dyDescent="0.25">
      <c r="B27" s="338"/>
      <c r="C27" s="57"/>
      <c r="F27" s="368">
        <v>44398</v>
      </c>
      <c r="G27" s="410">
        <f t="shared" si="0"/>
        <v>44398</v>
      </c>
      <c r="H27" s="386">
        <f t="shared" si="20"/>
        <v>0</v>
      </c>
      <c r="I27" s="386">
        <f t="shared" ca="1" si="21"/>
        <v>-0.33333333333333331</v>
      </c>
      <c r="J27" s="411">
        <f ca="1">I27+J26</f>
        <v>-5.3333333333333321</v>
      </c>
      <c r="K27" s="426"/>
      <c r="L27" s="60"/>
      <c r="T27" s="438">
        <f t="shared" si="6"/>
        <v>0</v>
      </c>
      <c r="U27" s="439" t="b">
        <f t="shared" si="7"/>
        <v>0</v>
      </c>
      <c r="V27" s="440" t="b">
        <f t="shared" si="8"/>
        <v>0</v>
      </c>
      <c r="W27" s="437">
        <f t="shared" si="2"/>
        <v>0</v>
      </c>
      <c r="X27" s="439">
        <f t="shared" si="9"/>
        <v>0</v>
      </c>
      <c r="Y27" s="439">
        <f t="shared" si="10"/>
        <v>0</v>
      </c>
      <c r="Z27" s="439">
        <f t="shared" si="13"/>
        <v>0</v>
      </c>
      <c r="AA27" s="439" t="e">
        <f ca="1">(OFFSET($B$5,SUM($W$6:$W27),)-OFFSET($B$5,(SUM($W$6:$W27)-SUM($W27:$W27)+1),))</f>
        <v>#VALUE!</v>
      </c>
      <c r="AB27" s="439" t="e">
        <f ca="1">(OFFSET($B$5,SUM($W$6:$W27),)-OFFSET($B$5,SUM($W$6:$W27)-1,))+(OFFSET($B$5,SUM($W$6:$W27)-2,)-OFFSET($B$5,SUM($W$6:$W27)-3,))+(OFFSET($B$5,SUM($W$6:$W27)-4,)-OFFSET($B$5,SUM($W$6:$W27)-5,))+(OFFSET($B$5,SUM($W$6:$W27)-6,)-OFFSET($B$5,SUM($W$6:$W27)-7,))+(OFFSET($B$5,SUM($W$6:$W27)-8,)-OFFSET($B$5,SUM($W$6:$W27)-9,))+(OFFSET($B$5,SUM($W$6:$W27)-10,)-OFFSET($B$5,SUM($W$6:$W27)-11,))</f>
        <v>#VALUE!</v>
      </c>
      <c r="AC27" s="439" t="e">
        <f ca="1">(OFFSET($B$5,SUM($W$6:$W27),)-OFFSET($B$5,SUM($W$6:$W27)-1,))+(OFFSET($B$5,SUM($W$6:$W27)-2,)-OFFSET($B$5,SUM($W$6:$W27)-3,))+(OFFSET($B$5,SUM($W$6:$W27)-4,)-OFFSET($B$5,SUM($W$6:$W27)-5,))+(OFFSET($B$5,SUM($W$6:$W27)-6,)-OFFSET($B$5,SUM($W$6:$W27)-7,))+(OFFSET($B$5,SUM($W$6:$W27)-8,)-OFFSET($B$5,SUM($W$6:$W27)-9,))</f>
        <v>#VALUE!</v>
      </c>
      <c r="AD27" s="439" t="e">
        <f ca="1">(OFFSET($B$5,SUM($W$6:$W27),)-OFFSET($B$5,SUM($W$6:$W27)-1,))+(OFFSET($B$5,SUM($W$6:$W27)-2,)-OFFSET($B$5,SUM($W$6:$W27)-3,))+(OFFSET($B$5,SUM($W$6:$W27)-4,)-OFFSET($B$5,SUM($W$6:$W27)-5,))+(OFFSET($B$5,SUM($W$6:$W27)-6,)-OFFSET($B$5,SUM($W$6:$W27)-7,))</f>
        <v>#VALUE!</v>
      </c>
      <c r="AE27" s="439" t="e">
        <f ca="1">(OFFSET($B$5,SUM($W$6:$W27),)-OFFSET($B$5,SUM($W$6:$W27)-1,))+(OFFSET($B$5,SUM($W$6:$W27)-2,)-OFFSET($B$5,SUM($W$6:$W27)-3,))+(OFFSET($B$5,SUM($W$6:$W27)-4,)-OFFSET($B$5,SUM($W$6:$W27)-5,))</f>
        <v>#VALUE!</v>
      </c>
      <c r="AF27" s="439" t="e">
        <f ca="1">(OFFSET($B$5,SUM($W$6:$W27),)-OFFSET($B$5,SUM($W$6:$W27)-1,))+(OFFSET($B$5,SUM($W$6:$W27)-2,)-OFFSET($B$5,SUM($W$6:$W27)-3,))</f>
        <v>#VALUE!</v>
      </c>
      <c r="AG27" s="439" t="e">
        <f ca="1">(OFFSET($B$5,SUM($W$6:$W27),)-OFFSET($B$5,SUM($W$6:$W27)-1,))</f>
        <v>#VALUE!</v>
      </c>
      <c r="AH27" s="439" t="e">
        <f ca="1">(OFFSET($B$5,SUM($W$6:$W27)-1,)-OFFSET($B$5,SUM($W$6:$W27)-2,))+(OFFSET($B$5,SUM($W$6:$W27)-3,)-OFFSET($B$5,SUM($W$6:$W27)-4,))+(OFFSET($B$5,SUM($W$6:$W27)-5,)-OFFSET($B$5,SUM($W$6:$W27)-6,))+(OFFSET($B$5,SUM($W$6:$W27)-7,)-OFFSET($B$5,SUM($W$6:$W27)-8,))+(OFFSET($B$5,SUM($W$6:$W27)-9,)-OFFSET($B$5,SUM($W$6:$W27)-10,))</f>
        <v>#REF!</v>
      </c>
      <c r="AI27" s="439" t="e">
        <f ca="1">(OFFSET($B$5,SUM($W$6:$W27)-1,)-OFFSET($B$5,SUM($W$6:$W27)-2,))+(OFFSET($B$5,SUM($W$6:$W27)-3,)-OFFSET($B$5,SUM($W$6:$W27)-4,))+(OFFSET($B$5,SUM($W$6:$W27)-5,)-OFFSET($B$5,SUM($W$6:$W27)-6,))+(OFFSET($B$5,SUM($W$6:$W27)-7,)-OFFSET($B$5,SUM($W$6:$W27)-8,))</f>
        <v>#REF!</v>
      </c>
      <c r="AJ27" s="439" t="e">
        <f ca="1">(OFFSET($B$5,SUM($W$6:$W27)-1,)-OFFSET($B$5,SUM($W$6:$W27)-2,))+(OFFSET($B$5,SUM($W$6:$W27)-3,)-OFFSET($B$5,SUM($W$6:$W27)-4,))+(OFFSET($B$5,SUM($W$6:$W27)-5,)-OFFSET($B$5,SUM($W$6:$W27)-6,))</f>
        <v>#REF!</v>
      </c>
      <c r="AK27" s="439">
        <f ca="1">(OFFSET($B$5,SUM($W$6:$W27)-1,)-OFFSET($B$5,SUM($W$6:$W27)-2,))+(OFFSET($B$5,SUM($W$6:$W27)-3,)-OFFSET($B$5,SUM($W$6:$W27)-4,))</f>
        <v>0</v>
      </c>
      <c r="AL27" s="439">
        <f ca="1">(OFFSET($B$5,SUM($W$6:$W27)-1,)-OFFSET($B$5,SUM($W$6:$W27)-2,))</f>
        <v>0</v>
      </c>
      <c r="AM27" s="433">
        <v>0.875</v>
      </c>
    </row>
    <row r="28" spans="2:39" x14ac:dyDescent="0.25">
      <c r="B28" s="338"/>
      <c r="C28" s="57"/>
      <c r="F28" s="368">
        <v>44399</v>
      </c>
      <c r="G28" s="410">
        <f t="shared" si="0"/>
        <v>44399</v>
      </c>
      <c r="H28" s="386">
        <f t="shared" si="20"/>
        <v>0</v>
      </c>
      <c r="I28" s="386">
        <f t="shared" ca="1" si="21"/>
        <v>-0.33333333333333331</v>
      </c>
      <c r="J28" s="411">
        <f t="shared" ref="J28:J30" ca="1" si="22">I28+J27</f>
        <v>-5.6666666666666652</v>
      </c>
      <c r="K28" s="426"/>
      <c r="L28" s="60"/>
      <c r="T28" s="438">
        <f t="shared" si="6"/>
        <v>0</v>
      </c>
      <c r="U28" s="439" t="b">
        <f t="shared" si="7"/>
        <v>0</v>
      </c>
      <c r="V28" s="440" t="b">
        <f t="shared" si="8"/>
        <v>0</v>
      </c>
      <c r="W28" s="437">
        <f t="shared" si="2"/>
        <v>0</v>
      </c>
      <c r="X28" s="439">
        <f t="shared" si="9"/>
        <v>0</v>
      </c>
      <c r="Y28" s="439">
        <f t="shared" si="10"/>
        <v>0</v>
      </c>
      <c r="Z28" s="439">
        <f t="shared" si="13"/>
        <v>0</v>
      </c>
      <c r="AA28" s="439" t="e">
        <f ca="1">(OFFSET($B$5,SUM($W$6:$W28),)-OFFSET($B$5,(SUM($W$6:$W28)-SUM($W28:$W28)+1),))</f>
        <v>#VALUE!</v>
      </c>
      <c r="AB28" s="439" t="e">
        <f ca="1">(OFFSET($B$5,SUM($W$6:$W28),)-OFFSET($B$5,SUM($W$6:$W28)-1,))+(OFFSET($B$5,SUM($W$6:$W28)-2,)-OFFSET($B$5,SUM($W$6:$W28)-3,))+(OFFSET($B$5,SUM($W$6:$W28)-4,)-OFFSET($B$5,SUM($W$6:$W28)-5,))+(OFFSET($B$5,SUM($W$6:$W28)-6,)-OFFSET($B$5,SUM($W$6:$W28)-7,))+(OFFSET($B$5,SUM($W$6:$W28)-8,)-OFFSET($B$5,SUM($W$6:$W28)-9,))+(OFFSET($B$5,SUM($W$6:$W28)-10,)-OFFSET($B$5,SUM($W$6:$W28)-11,))</f>
        <v>#VALUE!</v>
      </c>
      <c r="AC28" s="439" t="e">
        <f ca="1">(OFFSET($B$5,SUM($W$6:$W28),)-OFFSET($B$5,SUM($W$6:$W28)-1,))+(OFFSET($B$5,SUM($W$6:$W28)-2,)-OFFSET($B$5,SUM($W$6:$W28)-3,))+(OFFSET($B$5,SUM($W$6:$W28)-4,)-OFFSET($B$5,SUM($W$6:$W28)-5,))+(OFFSET($B$5,SUM($W$6:$W28)-6,)-OFFSET($B$5,SUM($W$6:$W28)-7,))+(OFFSET($B$5,SUM($W$6:$W28)-8,)-OFFSET($B$5,SUM($W$6:$W28)-9,))</f>
        <v>#VALUE!</v>
      </c>
      <c r="AD28" s="439" t="e">
        <f ca="1">(OFFSET($B$5,SUM($W$6:$W28),)-OFFSET($B$5,SUM($W$6:$W28)-1,))+(OFFSET($B$5,SUM($W$6:$W28)-2,)-OFFSET($B$5,SUM($W$6:$W28)-3,))+(OFFSET($B$5,SUM($W$6:$W28)-4,)-OFFSET($B$5,SUM($W$6:$W28)-5,))+(OFFSET($B$5,SUM($W$6:$W28)-6,)-OFFSET($B$5,SUM($W$6:$W28)-7,))</f>
        <v>#VALUE!</v>
      </c>
      <c r="AE28" s="439" t="e">
        <f ca="1">(OFFSET($B$5,SUM($W$6:$W28),)-OFFSET($B$5,SUM($W$6:$W28)-1,))+(OFFSET($B$5,SUM($W$6:$W28)-2,)-OFFSET($B$5,SUM($W$6:$W28)-3,))+(OFFSET($B$5,SUM($W$6:$W28)-4,)-OFFSET($B$5,SUM($W$6:$W28)-5,))</f>
        <v>#VALUE!</v>
      </c>
      <c r="AF28" s="439" t="e">
        <f ca="1">(OFFSET($B$5,SUM($W$6:$W28),)-OFFSET($B$5,SUM($W$6:$W28)-1,))+(OFFSET($B$5,SUM($W$6:$W28)-2,)-OFFSET($B$5,SUM($W$6:$W28)-3,))</f>
        <v>#VALUE!</v>
      </c>
      <c r="AG28" s="439" t="e">
        <f ca="1">(OFFSET($B$5,SUM($W$6:$W28),)-OFFSET($B$5,SUM($W$6:$W28)-1,))</f>
        <v>#VALUE!</v>
      </c>
      <c r="AH28" s="439" t="e">
        <f ca="1">(OFFSET($B$5,SUM($W$6:$W28)-1,)-OFFSET($B$5,SUM($W$6:$W28)-2,))+(OFFSET($B$5,SUM($W$6:$W28)-3,)-OFFSET($B$5,SUM($W$6:$W28)-4,))+(OFFSET($B$5,SUM($W$6:$W28)-5,)-OFFSET($B$5,SUM($W$6:$W28)-6,))+(OFFSET($B$5,SUM($W$6:$W28)-7,)-OFFSET($B$5,SUM($W$6:$W28)-8,))+(OFFSET($B$5,SUM($W$6:$W28)-9,)-OFFSET($B$5,SUM($W$6:$W28)-10,))</f>
        <v>#REF!</v>
      </c>
      <c r="AI28" s="439" t="e">
        <f ca="1">(OFFSET($B$5,SUM($W$6:$W28)-1,)-OFFSET($B$5,SUM($W$6:$W28)-2,))+(OFFSET($B$5,SUM($W$6:$W28)-3,)-OFFSET($B$5,SUM($W$6:$W28)-4,))+(OFFSET($B$5,SUM($W$6:$W28)-5,)-OFFSET($B$5,SUM($W$6:$W28)-6,))+(OFFSET($B$5,SUM($W$6:$W28)-7,)-OFFSET($B$5,SUM($W$6:$W28)-8,))</f>
        <v>#REF!</v>
      </c>
      <c r="AJ28" s="439" t="e">
        <f ca="1">(OFFSET($B$5,SUM($W$6:$W28)-1,)-OFFSET($B$5,SUM($W$6:$W28)-2,))+(OFFSET($B$5,SUM($W$6:$W28)-3,)-OFFSET($B$5,SUM($W$6:$W28)-4,))+(OFFSET($B$5,SUM($W$6:$W28)-5,)-OFFSET($B$5,SUM($W$6:$W28)-6,))</f>
        <v>#REF!</v>
      </c>
      <c r="AK28" s="439">
        <f ca="1">(OFFSET($B$5,SUM($W$6:$W28)-1,)-OFFSET($B$5,SUM($W$6:$W28)-2,))+(OFFSET($B$5,SUM($W$6:$W28)-3,)-OFFSET($B$5,SUM($W$6:$W28)-4,))</f>
        <v>0</v>
      </c>
      <c r="AL28" s="439">
        <f ca="1">(OFFSET($B$5,SUM($W$6:$W28)-1,)-OFFSET($B$5,SUM($W$6:$W28)-2,))</f>
        <v>0</v>
      </c>
      <c r="AM28" s="433">
        <v>0.91666666666666696</v>
      </c>
    </row>
    <row r="29" spans="2:39" x14ac:dyDescent="0.25">
      <c r="B29" s="338"/>
      <c r="C29" s="57"/>
      <c r="F29" s="368">
        <v>44400</v>
      </c>
      <c r="G29" s="410">
        <f t="shared" si="0"/>
        <v>44400</v>
      </c>
      <c r="H29" s="386">
        <f t="shared" si="20"/>
        <v>0</v>
      </c>
      <c r="I29" s="386">
        <f t="shared" ca="1" si="21"/>
        <v>-0.33333333333333331</v>
      </c>
      <c r="J29" s="411">
        <f t="shared" ca="1" si="22"/>
        <v>-5.9999999999999982</v>
      </c>
      <c r="K29" s="426"/>
      <c r="L29" s="60"/>
      <c r="T29" s="438">
        <f t="shared" si="6"/>
        <v>0</v>
      </c>
      <c r="U29" s="439" t="b">
        <f t="shared" si="7"/>
        <v>0</v>
      </c>
      <c r="V29" s="440" t="b">
        <f t="shared" si="8"/>
        <v>0</v>
      </c>
      <c r="W29" s="437">
        <f t="shared" si="2"/>
        <v>0</v>
      </c>
      <c r="X29" s="439">
        <f t="shared" si="9"/>
        <v>0</v>
      </c>
      <c r="Y29" s="439">
        <f t="shared" si="10"/>
        <v>0</v>
      </c>
      <c r="Z29" s="439">
        <f t="shared" si="13"/>
        <v>0</v>
      </c>
      <c r="AA29" s="439" t="e">
        <f ca="1">(OFFSET($B$5,SUM($W$6:$W29),)-OFFSET($B$5,(SUM($W$6:$W29)-SUM($W29:$W29)+1),))</f>
        <v>#VALUE!</v>
      </c>
      <c r="AB29" s="439" t="e">
        <f ca="1">(OFFSET($B$5,SUM($W$6:$W29),)-OFFSET($B$5,SUM($W$6:$W29)-1,))+(OFFSET($B$5,SUM($W$6:$W29)-2,)-OFFSET($B$5,SUM($W$6:$W29)-3,))+(OFFSET($B$5,SUM($W$6:$W29)-4,)-OFFSET($B$5,SUM($W$6:$W29)-5,))+(OFFSET($B$5,SUM($W$6:$W29)-6,)-OFFSET($B$5,SUM($W$6:$W29)-7,))+(OFFSET($B$5,SUM($W$6:$W29)-8,)-OFFSET($B$5,SUM($W$6:$W29)-9,))+(OFFSET($B$5,SUM($W$6:$W29)-10,)-OFFSET($B$5,SUM($W$6:$W29)-11,))</f>
        <v>#VALUE!</v>
      </c>
      <c r="AC29" s="439" t="e">
        <f ca="1">(OFFSET($B$5,SUM($W$6:$W29),)-OFFSET($B$5,SUM($W$6:$W29)-1,))+(OFFSET($B$5,SUM($W$6:$W29)-2,)-OFFSET($B$5,SUM($W$6:$W29)-3,))+(OFFSET($B$5,SUM($W$6:$W29)-4,)-OFFSET($B$5,SUM($W$6:$W29)-5,))+(OFFSET($B$5,SUM($W$6:$W29)-6,)-OFFSET($B$5,SUM($W$6:$W29)-7,))+(OFFSET($B$5,SUM($W$6:$W29)-8,)-OFFSET($B$5,SUM($W$6:$W29)-9,))</f>
        <v>#VALUE!</v>
      </c>
      <c r="AD29" s="439" t="e">
        <f ca="1">(OFFSET($B$5,SUM($W$6:$W29),)-OFFSET($B$5,SUM($W$6:$W29)-1,))+(OFFSET($B$5,SUM($W$6:$W29)-2,)-OFFSET($B$5,SUM($W$6:$W29)-3,))+(OFFSET($B$5,SUM($W$6:$W29)-4,)-OFFSET($B$5,SUM($W$6:$W29)-5,))+(OFFSET($B$5,SUM($W$6:$W29)-6,)-OFFSET($B$5,SUM($W$6:$W29)-7,))</f>
        <v>#VALUE!</v>
      </c>
      <c r="AE29" s="439" t="e">
        <f ca="1">(OFFSET($B$5,SUM($W$6:$W29),)-OFFSET($B$5,SUM($W$6:$W29)-1,))+(OFFSET($B$5,SUM($W$6:$W29)-2,)-OFFSET($B$5,SUM($W$6:$W29)-3,))+(OFFSET($B$5,SUM($W$6:$W29)-4,)-OFFSET($B$5,SUM($W$6:$W29)-5,))</f>
        <v>#VALUE!</v>
      </c>
      <c r="AF29" s="439" t="e">
        <f ca="1">(OFFSET($B$5,SUM($W$6:$W29),)-OFFSET($B$5,SUM($W$6:$W29)-1,))+(OFFSET($B$5,SUM($W$6:$W29)-2,)-OFFSET($B$5,SUM($W$6:$W29)-3,))</f>
        <v>#VALUE!</v>
      </c>
      <c r="AG29" s="439" t="e">
        <f ca="1">(OFFSET($B$5,SUM($W$6:$W29),)-OFFSET($B$5,SUM($W$6:$W29)-1,))</f>
        <v>#VALUE!</v>
      </c>
      <c r="AH29" s="439" t="e">
        <f ca="1">(OFFSET($B$5,SUM($W$6:$W29)-1,)-OFFSET($B$5,SUM($W$6:$W29)-2,))+(OFFSET($B$5,SUM($W$6:$W29)-3,)-OFFSET($B$5,SUM($W$6:$W29)-4,))+(OFFSET($B$5,SUM($W$6:$W29)-5,)-OFFSET($B$5,SUM($W$6:$W29)-6,))+(OFFSET($B$5,SUM($W$6:$W29)-7,)-OFFSET($B$5,SUM($W$6:$W29)-8,))+(OFFSET($B$5,SUM($W$6:$W29)-9,)-OFFSET($B$5,SUM($W$6:$W29)-10,))</f>
        <v>#REF!</v>
      </c>
      <c r="AI29" s="439" t="e">
        <f ca="1">(OFFSET($B$5,SUM($W$6:$W29)-1,)-OFFSET($B$5,SUM($W$6:$W29)-2,))+(OFFSET($B$5,SUM($W$6:$W29)-3,)-OFFSET($B$5,SUM($W$6:$W29)-4,))+(OFFSET($B$5,SUM($W$6:$W29)-5,)-OFFSET($B$5,SUM($W$6:$W29)-6,))+(OFFSET($B$5,SUM($W$6:$W29)-7,)-OFFSET($B$5,SUM($W$6:$W29)-8,))</f>
        <v>#REF!</v>
      </c>
      <c r="AJ29" s="439" t="e">
        <f ca="1">(OFFSET($B$5,SUM($W$6:$W29)-1,)-OFFSET($B$5,SUM($W$6:$W29)-2,))+(OFFSET($B$5,SUM($W$6:$W29)-3,)-OFFSET($B$5,SUM($W$6:$W29)-4,))+(OFFSET($B$5,SUM($W$6:$W29)-5,)-OFFSET($B$5,SUM($W$6:$W29)-6,))</f>
        <v>#REF!</v>
      </c>
      <c r="AK29" s="439">
        <f ca="1">(OFFSET($B$5,SUM($W$6:$W29)-1,)-OFFSET($B$5,SUM($W$6:$W29)-2,))+(OFFSET($B$5,SUM($W$6:$W29)-3,)-OFFSET($B$5,SUM($W$6:$W29)-4,))</f>
        <v>0</v>
      </c>
      <c r="AL29" s="439">
        <f ca="1">(OFFSET($B$5,SUM($W$6:$W29)-1,)-OFFSET($B$5,SUM($W$6:$W29)-2,))</f>
        <v>0</v>
      </c>
      <c r="AM29" s="433">
        <v>0.95833333333333304</v>
      </c>
    </row>
    <row r="30" spans="2:39" x14ac:dyDescent="0.25">
      <c r="B30" s="338"/>
      <c r="C30" s="57"/>
      <c r="F30" s="368">
        <v>44401</v>
      </c>
      <c r="G30" s="410">
        <f t="shared" si="0"/>
        <v>44401</v>
      </c>
      <c r="H30" s="386">
        <f t="shared" si="20"/>
        <v>0</v>
      </c>
      <c r="I30" s="386">
        <f t="shared" ca="1" si="21"/>
        <v>-0.33333333333333331</v>
      </c>
      <c r="J30" s="411">
        <f t="shared" ca="1" si="22"/>
        <v>-6.3333333333333313</v>
      </c>
      <c r="K30" s="426"/>
      <c r="L30" s="60"/>
      <c r="T30" s="438">
        <f t="shared" si="6"/>
        <v>0</v>
      </c>
      <c r="U30" s="439" t="b">
        <f t="shared" si="7"/>
        <v>0</v>
      </c>
      <c r="V30" s="440" t="b">
        <f t="shared" si="8"/>
        <v>0</v>
      </c>
      <c r="W30" s="437">
        <f t="shared" si="2"/>
        <v>0</v>
      </c>
      <c r="X30" s="439">
        <f t="shared" si="9"/>
        <v>0</v>
      </c>
      <c r="Y30" s="439">
        <f t="shared" si="10"/>
        <v>0</v>
      </c>
      <c r="Z30" s="439">
        <f t="shared" si="13"/>
        <v>0</v>
      </c>
      <c r="AA30" s="439" t="e">
        <f ca="1">(OFFSET($B$5,SUM($W$6:$W30),)-OFFSET($B$5,(SUM($W$6:$W30)-SUM($W30:$W30)+1),))</f>
        <v>#VALUE!</v>
      </c>
      <c r="AB30" s="439" t="e">
        <f ca="1">(OFFSET($B$5,SUM($W$6:$W30),)-OFFSET($B$5,SUM($W$6:$W30)-1,))+(OFFSET($B$5,SUM($W$6:$W30)-2,)-OFFSET($B$5,SUM($W$6:$W30)-3,))+(OFFSET($B$5,SUM($W$6:$W30)-4,)-OFFSET($B$5,SUM($W$6:$W30)-5,))+(OFFSET($B$5,SUM($W$6:$W30)-6,)-OFFSET($B$5,SUM($W$6:$W30)-7,))+(OFFSET($B$5,SUM($W$6:$W30)-8,)-OFFSET($B$5,SUM($W$6:$W30)-9,))+(OFFSET($B$5,SUM($W$6:$W30)-10,)-OFFSET($B$5,SUM($W$6:$W30)-11,))</f>
        <v>#VALUE!</v>
      </c>
      <c r="AC30" s="439" t="e">
        <f ca="1">(OFFSET($B$5,SUM($W$6:$W30),)-OFFSET($B$5,SUM($W$6:$W30)-1,))+(OFFSET($B$5,SUM($W$6:$W30)-2,)-OFFSET($B$5,SUM($W$6:$W30)-3,))+(OFFSET($B$5,SUM($W$6:$W30)-4,)-OFFSET($B$5,SUM($W$6:$W30)-5,))+(OFFSET($B$5,SUM($W$6:$W30)-6,)-OFFSET($B$5,SUM($W$6:$W30)-7,))+(OFFSET($B$5,SUM($W$6:$W30)-8,)-OFFSET($B$5,SUM($W$6:$W30)-9,))</f>
        <v>#VALUE!</v>
      </c>
      <c r="AD30" s="439" t="e">
        <f ca="1">(OFFSET($B$5,SUM($W$6:$W30),)-OFFSET($B$5,SUM($W$6:$W30)-1,))+(OFFSET($B$5,SUM($W$6:$W30)-2,)-OFFSET($B$5,SUM($W$6:$W30)-3,))+(OFFSET($B$5,SUM($W$6:$W30)-4,)-OFFSET($B$5,SUM($W$6:$W30)-5,))+(OFFSET($B$5,SUM($W$6:$W30)-6,)-OFFSET($B$5,SUM($W$6:$W30)-7,))</f>
        <v>#VALUE!</v>
      </c>
      <c r="AE30" s="439" t="e">
        <f ca="1">(OFFSET($B$5,SUM($W$6:$W30),)-OFFSET($B$5,SUM($W$6:$W30)-1,))+(OFFSET($B$5,SUM($W$6:$W30)-2,)-OFFSET($B$5,SUM($W$6:$W30)-3,))+(OFFSET($B$5,SUM($W$6:$W30)-4,)-OFFSET($B$5,SUM($W$6:$W30)-5,))</f>
        <v>#VALUE!</v>
      </c>
      <c r="AF30" s="439" t="e">
        <f ca="1">(OFFSET($B$5,SUM($W$6:$W30),)-OFFSET($B$5,SUM($W$6:$W30)-1,))+(OFFSET($B$5,SUM($W$6:$W30)-2,)-OFFSET($B$5,SUM($W$6:$W30)-3,))</f>
        <v>#VALUE!</v>
      </c>
      <c r="AG30" s="439" t="e">
        <f ca="1">(OFFSET($B$5,SUM($W$6:$W30),)-OFFSET($B$5,SUM($W$6:$W30)-1,))</f>
        <v>#VALUE!</v>
      </c>
      <c r="AH30" s="439" t="e">
        <f ca="1">(OFFSET($B$5,SUM($W$6:$W30)-1,)-OFFSET($B$5,SUM($W$6:$W30)-2,))+(OFFSET($B$5,SUM($W$6:$W30)-3,)-OFFSET($B$5,SUM($W$6:$W30)-4,))+(OFFSET($B$5,SUM($W$6:$W30)-5,)-OFFSET($B$5,SUM($W$6:$W30)-6,))+(OFFSET($B$5,SUM($W$6:$W30)-7,)-OFFSET($B$5,SUM($W$6:$W30)-8,))+(OFFSET($B$5,SUM($W$6:$W30)-9,)-OFFSET($B$5,SUM($W$6:$W30)-10,))</f>
        <v>#REF!</v>
      </c>
      <c r="AI30" s="439" t="e">
        <f ca="1">(OFFSET($B$5,SUM($W$6:$W30)-1,)-OFFSET($B$5,SUM($W$6:$W30)-2,))+(OFFSET($B$5,SUM($W$6:$W30)-3,)-OFFSET($B$5,SUM($W$6:$W30)-4,))+(OFFSET($B$5,SUM($W$6:$W30)-5,)-OFFSET($B$5,SUM($W$6:$W30)-6,))+(OFFSET($B$5,SUM($W$6:$W30)-7,)-OFFSET($B$5,SUM($W$6:$W30)-8,))</f>
        <v>#REF!</v>
      </c>
      <c r="AJ30" s="439" t="e">
        <f ca="1">(OFFSET($B$5,SUM($W$6:$W30)-1,)-OFFSET($B$5,SUM($W$6:$W30)-2,))+(OFFSET($B$5,SUM($W$6:$W30)-3,)-OFFSET($B$5,SUM($W$6:$W30)-4,))+(OFFSET($B$5,SUM($W$6:$W30)-5,)-OFFSET($B$5,SUM($W$6:$W30)-6,))</f>
        <v>#REF!</v>
      </c>
      <c r="AK30" s="439">
        <f ca="1">(OFFSET($B$5,SUM($W$6:$W30)-1,)-OFFSET($B$5,SUM($W$6:$W30)-2,))+(OFFSET($B$5,SUM($W$6:$W30)-3,)-OFFSET($B$5,SUM($W$6:$W30)-4,))</f>
        <v>0</v>
      </c>
      <c r="AL30" s="439">
        <f ca="1">(OFFSET($B$5,SUM($W$6:$W30)-1,)-OFFSET($B$5,SUM($W$6:$W30)-2,))</f>
        <v>0</v>
      </c>
      <c r="AM30" s="433">
        <v>1</v>
      </c>
    </row>
    <row r="31" spans="2:39" x14ac:dyDescent="0.25">
      <c r="B31" s="338"/>
      <c r="C31" s="57"/>
      <c r="F31" s="368">
        <v>44402</v>
      </c>
      <c r="G31" s="412">
        <f t="shared" si="0"/>
        <v>44402</v>
      </c>
      <c r="H31" s="389"/>
      <c r="I31" s="389"/>
      <c r="J31" s="390"/>
      <c r="K31" s="426"/>
      <c r="L31" s="60"/>
      <c r="T31" s="438">
        <f t="shared" si="6"/>
        <v>0</v>
      </c>
      <c r="U31" s="439" t="b">
        <f t="shared" si="7"/>
        <v>0</v>
      </c>
      <c r="V31" s="440" t="b">
        <f t="shared" si="8"/>
        <v>0</v>
      </c>
      <c r="W31" s="437">
        <f t="shared" si="2"/>
        <v>0</v>
      </c>
      <c r="X31" s="439">
        <f t="shared" si="9"/>
        <v>0</v>
      </c>
      <c r="Y31" s="439">
        <f t="shared" si="10"/>
        <v>0</v>
      </c>
      <c r="Z31" s="439">
        <f t="shared" si="13"/>
        <v>0</v>
      </c>
      <c r="AA31" s="439" t="e">
        <f ca="1">(OFFSET($B$5,SUM($W$6:$W31),)-OFFSET($B$5,(SUM($W$6:$W31)-SUM($W31:$W31)+1),))</f>
        <v>#VALUE!</v>
      </c>
      <c r="AB31" s="439" t="e">
        <f ca="1">(OFFSET($B$5,SUM($W$6:$W31),)-OFFSET($B$5,SUM($W$6:$W31)-1,))+(OFFSET($B$5,SUM($W$6:$W31)-2,)-OFFSET($B$5,SUM($W$6:$W31)-3,))+(OFFSET($B$5,SUM($W$6:$W31)-4,)-OFFSET($B$5,SUM($W$6:$W31)-5,))+(OFFSET($B$5,SUM($W$6:$W31)-6,)-OFFSET($B$5,SUM($W$6:$W31)-7,))+(OFFSET($B$5,SUM($W$6:$W31)-8,)-OFFSET($B$5,SUM($W$6:$W31)-9,))+(OFFSET($B$5,SUM($W$6:$W31)-10,)-OFFSET($B$5,SUM($W$6:$W31)-11,))</f>
        <v>#VALUE!</v>
      </c>
      <c r="AC31" s="439" t="e">
        <f ca="1">(OFFSET($B$5,SUM($W$6:$W31),)-OFFSET($B$5,SUM($W$6:$W31)-1,))+(OFFSET($B$5,SUM($W$6:$W31)-2,)-OFFSET($B$5,SUM($W$6:$W31)-3,))+(OFFSET($B$5,SUM($W$6:$W31)-4,)-OFFSET($B$5,SUM($W$6:$W31)-5,))+(OFFSET($B$5,SUM($W$6:$W31)-6,)-OFFSET($B$5,SUM($W$6:$W31)-7,))+(OFFSET($B$5,SUM($W$6:$W31)-8,)-OFFSET($B$5,SUM($W$6:$W31)-9,))</f>
        <v>#VALUE!</v>
      </c>
      <c r="AD31" s="439" t="e">
        <f ca="1">(OFFSET($B$5,SUM($W$6:$W31),)-OFFSET($B$5,SUM($W$6:$W31)-1,))+(OFFSET($B$5,SUM($W$6:$W31)-2,)-OFFSET($B$5,SUM($W$6:$W31)-3,))+(OFFSET($B$5,SUM($W$6:$W31)-4,)-OFFSET($B$5,SUM($W$6:$W31)-5,))+(OFFSET($B$5,SUM($W$6:$W31)-6,)-OFFSET($B$5,SUM($W$6:$W31)-7,))</f>
        <v>#VALUE!</v>
      </c>
      <c r="AE31" s="439" t="e">
        <f ca="1">(OFFSET($B$5,SUM($W$6:$W31),)-OFFSET($B$5,SUM($W$6:$W31)-1,))+(OFFSET($B$5,SUM($W$6:$W31)-2,)-OFFSET($B$5,SUM($W$6:$W31)-3,))+(OFFSET($B$5,SUM($W$6:$W31)-4,)-OFFSET($B$5,SUM($W$6:$W31)-5,))</f>
        <v>#VALUE!</v>
      </c>
      <c r="AF31" s="439" t="e">
        <f ca="1">(OFFSET($B$5,SUM($W$6:$W31),)-OFFSET($B$5,SUM($W$6:$W31)-1,))+(OFFSET($B$5,SUM($W$6:$W31)-2,)-OFFSET($B$5,SUM($W$6:$W31)-3,))</f>
        <v>#VALUE!</v>
      </c>
      <c r="AG31" s="439" t="e">
        <f ca="1">(OFFSET($B$5,SUM($W$6:$W31),)-OFFSET($B$5,SUM($W$6:$W31)-1,))</f>
        <v>#VALUE!</v>
      </c>
      <c r="AH31" s="439" t="e">
        <f ca="1">(OFFSET($B$5,SUM($W$6:$W31)-1,)-OFFSET($B$5,SUM($W$6:$W31)-2,))+(OFFSET($B$5,SUM($W$6:$W31)-3,)-OFFSET($B$5,SUM($W$6:$W31)-4,))+(OFFSET($B$5,SUM($W$6:$W31)-5,)-OFFSET($B$5,SUM($W$6:$W31)-6,))+(OFFSET($B$5,SUM($W$6:$W31)-7,)-OFFSET($B$5,SUM($W$6:$W31)-8,))+(OFFSET($B$5,SUM($W$6:$W31)-9,)-OFFSET($B$5,SUM($W$6:$W31)-10,))</f>
        <v>#REF!</v>
      </c>
      <c r="AI31" s="439" t="e">
        <f ca="1">(OFFSET($B$5,SUM($W$6:$W31)-1,)-OFFSET($B$5,SUM($W$6:$W31)-2,))+(OFFSET($B$5,SUM($W$6:$W31)-3,)-OFFSET($B$5,SUM($W$6:$W31)-4,))+(OFFSET($B$5,SUM($W$6:$W31)-5,)-OFFSET($B$5,SUM($W$6:$W31)-6,))+(OFFSET($B$5,SUM($W$6:$W31)-7,)-OFFSET($B$5,SUM($W$6:$W31)-8,))</f>
        <v>#REF!</v>
      </c>
      <c r="AJ31" s="439" t="e">
        <f ca="1">(OFFSET($B$5,SUM($W$6:$W31)-1,)-OFFSET($B$5,SUM($W$6:$W31)-2,))+(OFFSET($B$5,SUM($W$6:$W31)-3,)-OFFSET($B$5,SUM($W$6:$W31)-4,))+(OFFSET($B$5,SUM($W$6:$W31)-5,)-OFFSET($B$5,SUM($W$6:$W31)-6,))</f>
        <v>#REF!</v>
      </c>
      <c r="AK31" s="439">
        <f ca="1">(OFFSET($B$5,SUM($W$6:$W31)-1,)-OFFSET($B$5,SUM($W$6:$W31)-2,))+(OFFSET($B$5,SUM($W$6:$W31)-3,)-OFFSET($B$5,SUM($W$6:$W31)-4,))</f>
        <v>0</v>
      </c>
      <c r="AL31" s="439">
        <f ca="1">(OFFSET($B$5,SUM($W$6:$W31)-1,)-OFFSET($B$5,SUM($W$6:$W31)-2,))</f>
        <v>0</v>
      </c>
      <c r="AM31" s="433">
        <v>1.0416666666666701</v>
      </c>
    </row>
    <row r="32" spans="2:39" x14ac:dyDescent="0.25">
      <c r="B32" s="338"/>
      <c r="C32" s="57"/>
      <c r="F32" s="368">
        <v>44403</v>
      </c>
      <c r="G32" s="412">
        <f t="shared" si="0"/>
        <v>44403</v>
      </c>
      <c r="H32" s="389"/>
      <c r="I32" s="389"/>
      <c r="J32" s="390"/>
      <c r="K32" s="426"/>
      <c r="L32" s="60"/>
      <c r="T32" s="438">
        <f t="shared" si="6"/>
        <v>0</v>
      </c>
      <c r="U32" s="439" t="b">
        <f t="shared" si="7"/>
        <v>0</v>
      </c>
      <c r="V32" s="440" t="b">
        <f t="shared" si="8"/>
        <v>0</v>
      </c>
      <c r="W32" s="437">
        <f t="shared" si="2"/>
        <v>0</v>
      </c>
      <c r="X32" s="439">
        <f t="shared" si="9"/>
        <v>0</v>
      </c>
      <c r="Y32" s="439">
        <f t="shared" si="10"/>
        <v>0</v>
      </c>
      <c r="Z32" s="439">
        <f t="shared" si="13"/>
        <v>0</v>
      </c>
      <c r="AA32" s="439" t="e">
        <f ca="1">(OFFSET($B$5,SUM($W$6:$W32),)-OFFSET($B$5,(SUM($W$6:$W32)-SUM($W32:$W32)+1),))</f>
        <v>#VALUE!</v>
      </c>
      <c r="AB32" s="439" t="e">
        <f ca="1">(OFFSET($B$5,SUM($W$6:$W32),)-OFFSET($B$5,SUM($W$6:$W32)-1,))+(OFFSET($B$5,SUM($W$6:$W32)-2,)-OFFSET($B$5,SUM($W$6:$W32)-3,))+(OFFSET($B$5,SUM($W$6:$W32)-4,)-OFFSET($B$5,SUM($W$6:$W32)-5,))+(OFFSET($B$5,SUM($W$6:$W32)-6,)-OFFSET($B$5,SUM($W$6:$W32)-7,))+(OFFSET($B$5,SUM($W$6:$W32)-8,)-OFFSET($B$5,SUM($W$6:$W32)-9,))+(OFFSET($B$5,SUM($W$6:$W32)-10,)-OFFSET($B$5,SUM($W$6:$W32)-11,))</f>
        <v>#VALUE!</v>
      </c>
      <c r="AC32" s="439" t="e">
        <f ca="1">(OFFSET($B$5,SUM($W$6:$W32),)-OFFSET($B$5,SUM($W$6:$W32)-1,))+(OFFSET($B$5,SUM($W$6:$W32)-2,)-OFFSET($B$5,SUM($W$6:$W32)-3,))+(OFFSET($B$5,SUM($W$6:$W32)-4,)-OFFSET($B$5,SUM($W$6:$W32)-5,))+(OFFSET($B$5,SUM($W$6:$W32)-6,)-OFFSET($B$5,SUM($W$6:$W32)-7,))+(OFFSET($B$5,SUM($W$6:$W32)-8,)-OFFSET($B$5,SUM($W$6:$W32)-9,))</f>
        <v>#VALUE!</v>
      </c>
      <c r="AD32" s="439" t="e">
        <f ca="1">(OFFSET($B$5,SUM($W$6:$W32),)-OFFSET($B$5,SUM($W$6:$W32)-1,))+(OFFSET($B$5,SUM($W$6:$W32)-2,)-OFFSET($B$5,SUM($W$6:$W32)-3,))+(OFFSET($B$5,SUM($W$6:$W32)-4,)-OFFSET($B$5,SUM($W$6:$W32)-5,))+(OFFSET($B$5,SUM($W$6:$W32)-6,)-OFFSET($B$5,SUM($W$6:$W32)-7,))</f>
        <v>#VALUE!</v>
      </c>
      <c r="AE32" s="439" t="e">
        <f ca="1">(OFFSET($B$5,SUM($W$6:$W32),)-OFFSET($B$5,SUM($W$6:$W32)-1,))+(OFFSET($B$5,SUM($W$6:$W32)-2,)-OFFSET($B$5,SUM($W$6:$W32)-3,))+(OFFSET($B$5,SUM($W$6:$W32)-4,)-OFFSET($B$5,SUM($W$6:$W32)-5,))</f>
        <v>#VALUE!</v>
      </c>
      <c r="AF32" s="439" t="e">
        <f ca="1">(OFFSET($B$5,SUM($W$6:$W32),)-OFFSET($B$5,SUM($W$6:$W32)-1,))+(OFFSET($B$5,SUM($W$6:$W32)-2,)-OFFSET($B$5,SUM($W$6:$W32)-3,))</f>
        <v>#VALUE!</v>
      </c>
      <c r="AG32" s="439" t="e">
        <f ca="1">(OFFSET($B$5,SUM($W$6:$W32),)-OFFSET($B$5,SUM($W$6:$W32)-1,))</f>
        <v>#VALUE!</v>
      </c>
      <c r="AH32" s="439" t="e">
        <f ca="1">(OFFSET($B$5,SUM($W$6:$W32)-1,)-OFFSET($B$5,SUM($W$6:$W32)-2,))+(OFFSET($B$5,SUM($W$6:$W32)-3,)-OFFSET($B$5,SUM($W$6:$W32)-4,))+(OFFSET($B$5,SUM($W$6:$W32)-5,)-OFFSET($B$5,SUM($W$6:$W32)-6,))+(OFFSET($B$5,SUM($W$6:$W32)-7,)-OFFSET($B$5,SUM($W$6:$W32)-8,))+(OFFSET($B$5,SUM($W$6:$W32)-9,)-OFFSET($B$5,SUM($W$6:$W32)-10,))</f>
        <v>#REF!</v>
      </c>
      <c r="AI32" s="439" t="e">
        <f ca="1">(OFFSET($B$5,SUM($W$6:$W32)-1,)-OFFSET($B$5,SUM($W$6:$W32)-2,))+(OFFSET($B$5,SUM($W$6:$W32)-3,)-OFFSET($B$5,SUM($W$6:$W32)-4,))+(OFFSET($B$5,SUM($W$6:$W32)-5,)-OFFSET($B$5,SUM($W$6:$W32)-6,))+(OFFSET($B$5,SUM($W$6:$W32)-7,)-OFFSET($B$5,SUM($W$6:$W32)-8,))</f>
        <v>#REF!</v>
      </c>
      <c r="AJ32" s="439" t="e">
        <f ca="1">(OFFSET($B$5,SUM($W$6:$W32)-1,)-OFFSET($B$5,SUM($W$6:$W32)-2,))+(OFFSET($B$5,SUM($W$6:$W32)-3,)-OFFSET($B$5,SUM($W$6:$W32)-4,))+(OFFSET($B$5,SUM($W$6:$W32)-5,)-OFFSET($B$5,SUM($W$6:$W32)-6,))</f>
        <v>#REF!</v>
      </c>
      <c r="AK32" s="439">
        <f ca="1">(OFFSET($B$5,SUM($W$6:$W32)-1,)-OFFSET($B$5,SUM($W$6:$W32)-2,))+(OFFSET($B$5,SUM($W$6:$W32)-3,)-OFFSET($B$5,SUM($W$6:$W32)-4,))</f>
        <v>0</v>
      </c>
      <c r="AL32" s="439">
        <f ca="1">(OFFSET($B$5,SUM($W$6:$W32)-1,)-OFFSET($B$5,SUM($W$6:$W32)-2,))</f>
        <v>0</v>
      </c>
      <c r="AM32" s="433">
        <v>1.0833333333333299</v>
      </c>
    </row>
    <row r="33" spans="2:39" x14ac:dyDescent="0.25">
      <c r="B33" s="338"/>
      <c r="C33" s="57"/>
      <c r="F33" s="368">
        <v>44404</v>
      </c>
      <c r="G33" s="410">
        <f t="shared" si="0"/>
        <v>44404</v>
      </c>
      <c r="H33" s="386">
        <f t="shared" ref="H33:H36" si="23">X33</f>
        <v>0</v>
      </c>
      <c r="I33" s="386">
        <f t="shared" ref="I33:I36" ca="1" si="24">IFERROR(H33+T33+OFFSET($L$7,MATCH(F33,$K$8:$K$36,0),0)-$W$2,H33-$W$2)</f>
        <v>-0.33333333333333331</v>
      </c>
      <c r="J33" s="411">
        <f ca="1">I33+J30</f>
        <v>-6.6666666666666643</v>
      </c>
      <c r="K33" s="426"/>
      <c r="L33" s="60"/>
      <c r="T33" s="438">
        <f t="shared" si="6"/>
        <v>0</v>
      </c>
      <c r="U33" s="439" t="b">
        <f t="shared" si="7"/>
        <v>0</v>
      </c>
      <c r="V33" s="440" t="b">
        <f t="shared" si="8"/>
        <v>0</v>
      </c>
      <c r="W33" s="437">
        <f t="shared" si="2"/>
        <v>0</v>
      </c>
      <c r="X33" s="439">
        <f t="shared" si="9"/>
        <v>0</v>
      </c>
      <c r="Y33" s="439">
        <f t="shared" si="10"/>
        <v>0</v>
      </c>
      <c r="Z33" s="439">
        <f t="shared" si="13"/>
        <v>0</v>
      </c>
      <c r="AA33" s="439" t="e">
        <f ca="1">(OFFSET($B$5,SUM($W$6:$W33),)-OFFSET($B$5,(SUM($W$6:$W33)-SUM($W33:$W33)+1),))</f>
        <v>#VALUE!</v>
      </c>
      <c r="AB33" s="439" t="e">
        <f ca="1">(OFFSET($B$5,SUM($W$6:$W33),)-OFFSET($B$5,SUM($W$6:$W33)-1,))+(OFFSET($B$5,SUM($W$6:$W33)-2,)-OFFSET($B$5,SUM($W$6:$W33)-3,))+(OFFSET($B$5,SUM($W$6:$W33)-4,)-OFFSET($B$5,SUM($W$6:$W33)-5,))+(OFFSET($B$5,SUM($W$6:$W33)-6,)-OFFSET($B$5,SUM($W$6:$W33)-7,))+(OFFSET($B$5,SUM($W$6:$W33)-8,)-OFFSET($B$5,SUM($W$6:$W33)-9,))+(OFFSET($B$5,SUM($W$6:$W33)-10,)-OFFSET($B$5,SUM($W$6:$W33)-11,))</f>
        <v>#VALUE!</v>
      </c>
      <c r="AC33" s="439" t="e">
        <f ca="1">(OFFSET($B$5,SUM($W$6:$W33),)-OFFSET($B$5,SUM($W$6:$W33)-1,))+(OFFSET($B$5,SUM($W$6:$W33)-2,)-OFFSET($B$5,SUM($W$6:$W33)-3,))+(OFFSET($B$5,SUM($W$6:$W33)-4,)-OFFSET($B$5,SUM($W$6:$W33)-5,))+(OFFSET($B$5,SUM($W$6:$W33)-6,)-OFFSET($B$5,SUM($W$6:$W33)-7,))+(OFFSET($B$5,SUM($W$6:$W33)-8,)-OFFSET($B$5,SUM($W$6:$W33)-9,))</f>
        <v>#VALUE!</v>
      </c>
      <c r="AD33" s="439" t="e">
        <f ca="1">(OFFSET($B$5,SUM($W$6:$W33),)-OFFSET($B$5,SUM($W$6:$W33)-1,))+(OFFSET($B$5,SUM($W$6:$W33)-2,)-OFFSET($B$5,SUM($W$6:$W33)-3,))+(OFFSET($B$5,SUM($W$6:$W33)-4,)-OFFSET($B$5,SUM($W$6:$W33)-5,))+(OFFSET($B$5,SUM($W$6:$W33)-6,)-OFFSET($B$5,SUM($W$6:$W33)-7,))</f>
        <v>#VALUE!</v>
      </c>
      <c r="AE33" s="439" t="e">
        <f ca="1">(OFFSET($B$5,SUM($W$6:$W33),)-OFFSET($B$5,SUM($W$6:$W33)-1,))+(OFFSET($B$5,SUM($W$6:$W33)-2,)-OFFSET($B$5,SUM($W$6:$W33)-3,))+(OFFSET($B$5,SUM($W$6:$W33)-4,)-OFFSET($B$5,SUM($W$6:$W33)-5,))</f>
        <v>#VALUE!</v>
      </c>
      <c r="AF33" s="439" t="e">
        <f ca="1">(OFFSET($B$5,SUM($W$6:$W33),)-OFFSET($B$5,SUM($W$6:$W33)-1,))+(OFFSET($B$5,SUM($W$6:$W33)-2,)-OFFSET($B$5,SUM($W$6:$W33)-3,))</f>
        <v>#VALUE!</v>
      </c>
      <c r="AG33" s="439" t="e">
        <f ca="1">(OFFSET($B$5,SUM($W$6:$W33),)-OFFSET($B$5,SUM($W$6:$W33)-1,))</f>
        <v>#VALUE!</v>
      </c>
      <c r="AH33" s="439" t="e">
        <f ca="1">(OFFSET($B$5,SUM($W$6:$W33)-1,)-OFFSET($B$5,SUM($W$6:$W33)-2,))+(OFFSET($B$5,SUM($W$6:$W33)-3,)-OFFSET($B$5,SUM($W$6:$W33)-4,))+(OFFSET($B$5,SUM($W$6:$W33)-5,)-OFFSET($B$5,SUM($W$6:$W33)-6,))+(OFFSET($B$5,SUM($W$6:$W33)-7,)-OFFSET($B$5,SUM($W$6:$W33)-8,))+(OFFSET($B$5,SUM($W$6:$W33)-9,)-OFFSET($B$5,SUM($W$6:$W33)-10,))</f>
        <v>#REF!</v>
      </c>
      <c r="AI33" s="439" t="e">
        <f ca="1">(OFFSET($B$5,SUM($W$6:$W33)-1,)-OFFSET($B$5,SUM($W$6:$W33)-2,))+(OFFSET($B$5,SUM($W$6:$W33)-3,)-OFFSET($B$5,SUM($W$6:$W33)-4,))+(OFFSET($B$5,SUM($W$6:$W33)-5,)-OFFSET($B$5,SUM($W$6:$W33)-6,))+(OFFSET($B$5,SUM($W$6:$W33)-7,)-OFFSET($B$5,SUM($W$6:$W33)-8,))</f>
        <v>#REF!</v>
      </c>
      <c r="AJ33" s="439" t="e">
        <f ca="1">(OFFSET($B$5,SUM($W$6:$W33)-1,)-OFFSET($B$5,SUM($W$6:$W33)-2,))+(OFFSET($B$5,SUM($W$6:$W33)-3,)-OFFSET($B$5,SUM($W$6:$W33)-4,))+(OFFSET($B$5,SUM($W$6:$W33)-5,)-OFFSET($B$5,SUM($W$6:$W33)-6,))</f>
        <v>#REF!</v>
      </c>
      <c r="AK33" s="439">
        <f ca="1">(OFFSET($B$5,SUM($W$6:$W33)-1,)-OFFSET($B$5,SUM($W$6:$W33)-2,))+(OFFSET($B$5,SUM($W$6:$W33)-3,)-OFFSET($B$5,SUM($W$6:$W33)-4,))</f>
        <v>0</v>
      </c>
      <c r="AL33" s="439">
        <f ca="1">(OFFSET($B$5,SUM($W$6:$W33)-1,)-OFFSET($B$5,SUM($W$6:$W33)-2,))</f>
        <v>0</v>
      </c>
      <c r="AM33" s="433">
        <v>1.125</v>
      </c>
    </row>
    <row r="34" spans="2:39" x14ac:dyDescent="0.25">
      <c r="B34" s="338"/>
      <c r="C34" s="57"/>
      <c r="F34" s="368">
        <v>44405</v>
      </c>
      <c r="G34" s="410">
        <f t="shared" si="0"/>
        <v>44405</v>
      </c>
      <c r="H34" s="386">
        <f t="shared" si="23"/>
        <v>0</v>
      </c>
      <c r="I34" s="386">
        <f t="shared" ca="1" si="24"/>
        <v>-0.33333333333333331</v>
      </c>
      <c r="J34" s="411">
        <f ca="1">I34+J33</f>
        <v>-6.9999999999999973</v>
      </c>
      <c r="K34" s="426"/>
      <c r="L34" s="60"/>
      <c r="T34" s="438">
        <f t="shared" si="6"/>
        <v>0</v>
      </c>
      <c r="U34" s="439" t="b">
        <f t="shared" si="7"/>
        <v>0</v>
      </c>
      <c r="V34" s="440" t="b">
        <f t="shared" si="8"/>
        <v>0</v>
      </c>
      <c r="W34" s="437">
        <f t="shared" si="2"/>
        <v>0</v>
      </c>
      <c r="X34" s="439">
        <f t="shared" si="9"/>
        <v>0</v>
      </c>
      <c r="Y34" s="439">
        <f t="shared" si="10"/>
        <v>0</v>
      </c>
      <c r="Z34" s="439">
        <f t="shared" si="13"/>
        <v>0</v>
      </c>
      <c r="AA34" s="439" t="e">
        <f ca="1">(OFFSET($B$5,SUM($W$6:$W34),)-OFFSET($B$5,(SUM($W$6:$W34)-SUM($W34:$W34)+1),))</f>
        <v>#VALUE!</v>
      </c>
      <c r="AB34" s="439" t="e">
        <f ca="1">(OFFSET($B$5,SUM($W$6:$W34),)-OFFSET($B$5,SUM($W$6:$W34)-1,))+(OFFSET($B$5,SUM($W$6:$W34)-2,)-OFFSET($B$5,SUM($W$6:$W34)-3,))+(OFFSET($B$5,SUM($W$6:$W34)-4,)-OFFSET($B$5,SUM($W$6:$W34)-5,))+(OFFSET($B$5,SUM($W$6:$W34)-6,)-OFFSET($B$5,SUM($W$6:$W34)-7,))+(OFFSET($B$5,SUM($W$6:$W34)-8,)-OFFSET($B$5,SUM($W$6:$W34)-9,))+(OFFSET($B$5,SUM($W$6:$W34)-10,)-OFFSET($B$5,SUM($W$6:$W34)-11,))</f>
        <v>#VALUE!</v>
      </c>
      <c r="AC34" s="439" t="e">
        <f ca="1">(OFFSET($B$5,SUM($W$6:$W34),)-OFFSET($B$5,SUM($W$6:$W34)-1,))+(OFFSET($B$5,SUM($W$6:$W34)-2,)-OFFSET($B$5,SUM($W$6:$W34)-3,))+(OFFSET($B$5,SUM($W$6:$W34)-4,)-OFFSET($B$5,SUM($W$6:$W34)-5,))+(OFFSET($B$5,SUM($W$6:$W34)-6,)-OFFSET($B$5,SUM($W$6:$W34)-7,))+(OFFSET($B$5,SUM($W$6:$W34)-8,)-OFFSET($B$5,SUM($W$6:$W34)-9,))</f>
        <v>#VALUE!</v>
      </c>
      <c r="AD34" s="439" t="e">
        <f ca="1">(OFFSET($B$5,SUM($W$6:$W34),)-OFFSET($B$5,SUM($W$6:$W34)-1,))+(OFFSET($B$5,SUM($W$6:$W34)-2,)-OFFSET($B$5,SUM($W$6:$W34)-3,))+(OFFSET($B$5,SUM($W$6:$W34)-4,)-OFFSET($B$5,SUM($W$6:$W34)-5,))+(OFFSET($B$5,SUM($W$6:$W34)-6,)-OFFSET($B$5,SUM($W$6:$W34)-7,))</f>
        <v>#VALUE!</v>
      </c>
      <c r="AE34" s="439" t="e">
        <f ca="1">(OFFSET($B$5,SUM($W$6:$W34),)-OFFSET($B$5,SUM($W$6:$W34)-1,))+(OFFSET($B$5,SUM($W$6:$W34)-2,)-OFFSET($B$5,SUM($W$6:$W34)-3,))+(OFFSET($B$5,SUM($W$6:$W34)-4,)-OFFSET($B$5,SUM($W$6:$W34)-5,))</f>
        <v>#VALUE!</v>
      </c>
      <c r="AF34" s="439" t="e">
        <f ca="1">(OFFSET($B$5,SUM($W$6:$W34),)-OFFSET($B$5,SUM($W$6:$W34)-1,))+(OFFSET($B$5,SUM($W$6:$W34)-2,)-OFFSET($B$5,SUM($W$6:$W34)-3,))</f>
        <v>#VALUE!</v>
      </c>
      <c r="AG34" s="439" t="e">
        <f ca="1">(OFFSET($B$5,SUM($W$6:$W34),)-OFFSET($B$5,SUM($W$6:$W34)-1,))</f>
        <v>#VALUE!</v>
      </c>
      <c r="AH34" s="439" t="e">
        <f ca="1">(OFFSET($B$5,SUM($W$6:$W34)-1,)-OFFSET($B$5,SUM($W$6:$W34)-2,))+(OFFSET($B$5,SUM($W$6:$W34)-3,)-OFFSET($B$5,SUM($W$6:$W34)-4,))+(OFFSET($B$5,SUM($W$6:$W34)-5,)-OFFSET($B$5,SUM($W$6:$W34)-6,))+(OFFSET($B$5,SUM($W$6:$W34)-7,)-OFFSET($B$5,SUM($W$6:$W34)-8,))+(OFFSET($B$5,SUM($W$6:$W34)-9,)-OFFSET($B$5,SUM($W$6:$W34)-10,))</f>
        <v>#REF!</v>
      </c>
      <c r="AI34" s="439" t="e">
        <f ca="1">(OFFSET($B$5,SUM($W$6:$W34)-1,)-OFFSET($B$5,SUM($W$6:$W34)-2,))+(OFFSET($B$5,SUM($W$6:$W34)-3,)-OFFSET($B$5,SUM($W$6:$W34)-4,))+(OFFSET($B$5,SUM($W$6:$W34)-5,)-OFFSET($B$5,SUM($W$6:$W34)-6,))+(OFFSET($B$5,SUM($W$6:$W34)-7,)-OFFSET($B$5,SUM($W$6:$W34)-8,))</f>
        <v>#REF!</v>
      </c>
      <c r="AJ34" s="439" t="e">
        <f ca="1">(OFFSET($B$5,SUM($W$6:$W34)-1,)-OFFSET($B$5,SUM($W$6:$W34)-2,))+(OFFSET($B$5,SUM($W$6:$W34)-3,)-OFFSET($B$5,SUM($W$6:$W34)-4,))+(OFFSET($B$5,SUM($W$6:$W34)-5,)-OFFSET($B$5,SUM($W$6:$W34)-6,))</f>
        <v>#REF!</v>
      </c>
      <c r="AK34" s="439">
        <f ca="1">(OFFSET($B$5,SUM($W$6:$W34)-1,)-OFFSET($B$5,SUM($W$6:$W34)-2,))+(OFFSET($B$5,SUM($W$6:$W34)-3,)-OFFSET($B$5,SUM($W$6:$W34)-4,))</f>
        <v>0</v>
      </c>
      <c r="AL34" s="439">
        <f ca="1">(OFFSET($B$5,SUM($W$6:$W34)-1,)-OFFSET($B$5,SUM($W$6:$W34)-2,))</f>
        <v>0</v>
      </c>
      <c r="AM34" s="433">
        <v>1.1666666666666601</v>
      </c>
    </row>
    <row r="35" spans="2:39" x14ac:dyDescent="0.25">
      <c r="B35" s="338"/>
      <c r="C35" s="57"/>
      <c r="F35" s="368">
        <v>44406</v>
      </c>
      <c r="G35" s="410">
        <f t="shared" si="0"/>
        <v>44406</v>
      </c>
      <c r="H35" s="386">
        <f t="shared" si="23"/>
        <v>0</v>
      </c>
      <c r="I35" s="386">
        <f t="shared" ca="1" si="24"/>
        <v>-0.33333333333333331</v>
      </c>
      <c r="J35" s="411">
        <f t="shared" ref="J35:J36" ca="1" si="25">I35+J34</f>
        <v>-7.3333333333333304</v>
      </c>
      <c r="K35" s="426"/>
      <c r="L35" s="60"/>
      <c r="T35" s="438">
        <f t="shared" si="6"/>
        <v>0</v>
      </c>
      <c r="U35" s="439" t="b">
        <f t="shared" si="7"/>
        <v>0</v>
      </c>
      <c r="V35" s="440" t="b">
        <f t="shared" si="8"/>
        <v>0</v>
      </c>
      <c r="W35" s="437">
        <f t="shared" si="2"/>
        <v>0</v>
      </c>
      <c r="X35" s="439">
        <f t="shared" si="9"/>
        <v>0</v>
      </c>
      <c r="Y35" s="439">
        <f t="shared" si="10"/>
        <v>0</v>
      </c>
      <c r="Z35" s="439">
        <f t="shared" si="13"/>
        <v>0</v>
      </c>
      <c r="AA35" s="439" t="e">
        <f ca="1">(OFFSET($B$5,SUM($W$6:$W35),)-OFFSET($B$5,(SUM($W$6:$W35)-SUM($W35:$W35)+1),))</f>
        <v>#VALUE!</v>
      </c>
      <c r="AB35" s="439" t="e">
        <f ca="1">(OFFSET($B$5,SUM($W$6:$W35),)-OFFSET($B$5,SUM($W$6:$W35)-1,))+(OFFSET($B$5,SUM($W$6:$W35)-2,)-OFFSET($B$5,SUM($W$6:$W35)-3,))+(OFFSET($B$5,SUM($W$6:$W35)-4,)-OFFSET($B$5,SUM($W$6:$W35)-5,))+(OFFSET($B$5,SUM($W$6:$W35)-6,)-OFFSET($B$5,SUM($W$6:$W35)-7,))+(OFFSET($B$5,SUM($W$6:$W35)-8,)-OFFSET($B$5,SUM($W$6:$W35)-9,))+(OFFSET($B$5,SUM($W$6:$W35)-10,)-OFFSET($B$5,SUM($W$6:$W35)-11,))</f>
        <v>#VALUE!</v>
      </c>
      <c r="AC35" s="439" t="e">
        <f ca="1">(OFFSET($B$5,SUM($W$6:$W35),)-OFFSET($B$5,SUM($W$6:$W35)-1,))+(OFFSET($B$5,SUM($W$6:$W35)-2,)-OFFSET($B$5,SUM($W$6:$W35)-3,))+(OFFSET($B$5,SUM($W$6:$W35)-4,)-OFFSET($B$5,SUM($W$6:$W35)-5,))+(OFFSET($B$5,SUM($W$6:$W35)-6,)-OFFSET($B$5,SUM($W$6:$W35)-7,))+(OFFSET($B$5,SUM($W$6:$W35)-8,)-OFFSET($B$5,SUM($W$6:$W35)-9,))</f>
        <v>#VALUE!</v>
      </c>
      <c r="AD35" s="439" t="e">
        <f ca="1">(OFFSET($B$5,SUM($W$6:$W35),)-OFFSET($B$5,SUM($W$6:$W35)-1,))+(OFFSET($B$5,SUM($W$6:$W35)-2,)-OFFSET($B$5,SUM($W$6:$W35)-3,))+(OFFSET($B$5,SUM($W$6:$W35)-4,)-OFFSET($B$5,SUM($W$6:$W35)-5,))+(OFFSET($B$5,SUM($W$6:$W35)-6,)-OFFSET($B$5,SUM($W$6:$W35)-7,))</f>
        <v>#VALUE!</v>
      </c>
      <c r="AE35" s="439" t="e">
        <f ca="1">(OFFSET($B$5,SUM($W$6:$W35),)-OFFSET($B$5,SUM($W$6:$W35)-1,))+(OFFSET($B$5,SUM($W$6:$W35)-2,)-OFFSET($B$5,SUM($W$6:$W35)-3,))+(OFFSET($B$5,SUM($W$6:$W35)-4,)-OFFSET($B$5,SUM($W$6:$W35)-5,))</f>
        <v>#VALUE!</v>
      </c>
      <c r="AF35" s="439" t="e">
        <f ca="1">(OFFSET($B$5,SUM($W$6:$W35),)-OFFSET($B$5,SUM($W$6:$W35)-1,))+(OFFSET($B$5,SUM($W$6:$W35)-2,)-OFFSET($B$5,SUM($W$6:$W35)-3,))</f>
        <v>#VALUE!</v>
      </c>
      <c r="AG35" s="439" t="e">
        <f ca="1">(OFFSET($B$5,SUM($W$6:$W35),)-OFFSET($B$5,SUM($W$6:$W35)-1,))</f>
        <v>#VALUE!</v>
      </c>
      <c r="AH35" s="439" t="e">
        <f ca="1">(OFFSET($B$5,SUM($W$6:$W35)-1,)-OFFSET($B$5,SUM($W$6:$W35)-2,))+(OFFSET($B$5,SUM($W$6:$W35)-3,)-OFFSET($B$5,SUM($W$6:$W35)-4,))+(OFFSET($B$5,SUM($W$6:$W35)-5,)-OFFSET($B$5,SUM($W$6:$W35)-6,))+(OFFSET($B$5,SUM($W$6:$W35)-7,)-OFFSET($B$5,SUM($W$6:$W35)-8,))+(OFFSET($B$5,SUM($W$6:$W35)-9,)-OFFSET($B$5,SUM($W$6:$W35)-10,))</f>
        <v>#REF!</v>
      </c>
      <c r="AI35" s="439" t="e">
        <f ca="1">(OFFSET($B$5,SUM($W$6:$W35)-1,)-OFFSET($B$5,SUM($W$6:$W35)-2,))+(OFFSET($B$5,SUM($W$6:$W35)-3,)-OFFSET($B$5,SUM($W$6:$W35)-4,))+(OFFSET($B$5,SUM($W$6:$W35)-5,)-OFFSET($B$5,SUM($W$6:$W35)-6,))+(OFFSET($B$5,SUM($W$6:$W35)-7,)-OFFSET($B$5,SUM($W$6:$W35)-8,))</f>
        <v>#REF!</v>
      </c>
      <c r="AJ35" s="439" t="e">
        <f ca="1">(OFFSET($B$5,SUM($W$6:$W35)-1,)-OFFSET($B$5,SUM($W$6:$W35)-2,))+(OFFSET($B$5,SUM($W$6:$W35)-3,)-OFFSET($B$5,SUM($W$6:$W35)-4,))+(OFFSET($B$5,SUM($W$6:$W35)-5,)-OFFSET($B$5,SUM($W$6:$W35)-6,))</f>
        <v>#REF!</v>
      </c>
      <c r="AK35" s="439">
        <f ca="1">(OFFSET($B$5,SUM($W$6:$W35)-1,)-OFFSET($B$5,SUM($W$6:$W35)-2,))+(OFFSET($B$5,SUM($W$6:$W35)-3,)-OFFSET($B$5,SUM($W$6:$W35)-4,))</f>
        <v>0</v>
      </c>
      <c r="AL35" s="439">
        <f ca="1">(OFFSET($B$5,SUM($W$6:$W35)-1,)-OFFSET($B$5,SUM($W$6:$W35)-2,))</f>
        <v>0</v>
      </c>
      <c r="AM35" s="433">
        <v>1.2083333333333299</v>
      </c>
    </row>
    <row r="36" spans="2:39" ht="15.75" thickBot="1" x14ac:dyDescent="0.3">
      <c r="B36" s="338"/>
      <c r="C36" s="57"/>
      <c r="F36" s="369">
        <v>44407</v>
      </c>
      <c r="G36" s="413">
        <f t="shared" si="0"/>
        <v>44407</v>
      </c>
      <c r="H36" s="387">
        <f t="shared" si="23"/>
        <v>0</v>
      </c>
      <c r="I36" s="387">
        <f t="shared" ca="1" si="24"/>
        <v>-0.33333333333333331</v>
      </c>
      <c r="J36" s="414">
        <f t="shared" ca="1" si="25"/>
        <v>-7.6666666666666634</v>
      </c>
      <c r="K36" s="427"/>
      <c r="L36" s="62"/>
      <c r="T36" s="438">
        <f t="shared" si="6"/>
        <v>0</v>
      </c>
      <c r="U36" s="439" t="b">
        <f t="shared" si="7"/>
        <v>0</v>
      </c>
      <c r="V36" s="440" t="b">
        <f t="shared" si="8"/>
        <v>0</v>
      </c>
      <c r="W36" s="437">
        <f t="shared" si="2"/>
        <v>0</v>
      </c>
      <c r="X36" s="439">
        <f t="shared" si="9"/>
        <v>0</v>
      </c>
      <c r="Y36" s="439">
        <f t="shared" si="10"/>
        <v>0</v>
      </c>
      <c r="Z36" s="439">
        <f t="shared" si="13"/>
        <v>0</v>
      </c>
      <c r="AA36" s="439" t="e">
        <f ca="1">(OFFSET($B$5,SUM($W$6:$W36),)-OFFSET($B$5,(SUM($W$6:$W36)-SUM($W36:$W36)+1),))</f>
        <v>#VALUE!</v>
      </c>
      <c r="AB36" s="439" t="e">
        <f ca="1">(OFFSET($B$5,SUM($W$6:$W36),)-OFFSET($B$5,SUM($W$6:$W36)-1,))+(OFFSET($B$5,SUM($W$6:$W36)-2,)-OFFSET($B$5,SUM($W$6:$W36)-3,))+(OFFSET($B$5,SUM($W$6:$W36)-4,)-OFFSET($B$5,SUM($W$6:$W36)-5,))+(OFFSET($B$5,SUM($W$6:$W36)-6,)-OFFSET($B$5,SUM($W$6:$W36)-7,))+(OFFSET($B$5,SUM($W$6:$W36)-8,)-OFFSET($B$5,SUM($W$6:$W36)-9,))+(OFFSET($B$5,SUM($W$6:$W36)-10,)-OFFSET($B$5,SUM($W$6:$W36)-11,))</f>
        <v>#VALUE!</v>
      </c>
      <c r="AC36" s="439" t="e">
        <f ca="1">(OFFSET($B$5,SUM($W$6:$W36),)-OFFSET($B$5,SUM($W$6:$W36)-1,))+(OFFSET($B$5,SUM($W$6:$W36)-2,)-OFFSET($B$5,SUM($W$6:$W36)-3,))+(OFFSET($B$5,SUM($W$6:$W36)-4,)-OFFSET($B$5,SUM($W$6:$W36)-5,))+(OFFSET($B$5,SUM($W$6:$W36)-6,)-OFFSET($B$5,SUM($W$6:$W36)-7,))+(OFFSET($B$5,SUM($W$6:$W36)-8,)-OFFSET($B$5,SUM($W$6:$W36)-9,))</f>
        <v>#VALUE!</v>
      </c>
      <c r="AD36" s="439" t="e">
        <f ca="1">(OFFSET($B$5,SUM($W$6:$W36),)-OFFSET($B$5,SUM($W$6:$W36)-1,))+(OFFSET($B$5,SUM($W$6:$W36)-2,)-OFFSET($B$5,SUM($W$6:$W36)-3,))+(OFFSET($B$5,SUM($W$6:$W36)-4,)-OFFSET($B$5,SUM($W$6:$W36)-5,))+(OFFSET($B$5,SUM($W$6:$W36)-6,)-OFFSET($B$5,SUM($W$6:$W36)-7,))</f>
        <v>#VALUE!</v>
      </c>
      <c r="AE36" s="439" t="e">
        <f ca="1">(OFFSET($B$5,SUM($W$6:$W36),)-OFFSET($B$5,SUM($W$6:$W36)-1,))+(OFFSET($B$5,SUM($W$6:$W36)-2,)-OFFSET($B$5,SUM($W$6:$W36)-3,))+(OFFSET($B$5,SUM($W$6:$W36)-4,)-OFFSET($B$5,SUM($W$6:$W36)-5,))</f>
        <v>#VALUE!</v>
      </c>
      <c r="AF36" s="439" t="e">
        <f ca="1">(OFFSET($B$5,SUM($W$6:$W36),)-OFFSET($B$5,SUM($W$6:$W36)-1,))+(OFFSET($B$5,SUM($W$6:$W36)-2,)-OFFSET($B$5,SUM($W$6:$W36)-3,))</f>
        <v>#VALUE!</v>
      </c>
      <c r="AG36" s="439" t="e">
        <f ca="1">(OFFSET($B$5,SUM($W$6:$W36),)-OFFSET($B$5,SUM($W$6:$W36)-1,))</f>
        <v>#VALUE!</v>
      </c>
      <c r="AH36" s="439" t="e">
        <f ca="1">(OFFSET($B$5,SUM($W$6:$W36)-1,)-OFFSET($B$5,SUM($W$6:$W36)-2,))+(OFFSET($B$5,SUM($W$6:$W36)-3,)-OFFSET($B$5,SUM($W$6:$W36)-4,))+(OFFSET($B$5,SUM($W$6:$W36)-5,)-OFFSET($B$5,SUM($W$6:$W36)-6,))+(OFFSET($B$5,SUM($W$6:$W36)-7,)-OFFSET($B$5,SUM($W$6:$W36)-8,))+(OFFSET($B$5,SUM($W$6:$W36)-9,)-OFFSET($B$5,SUM($W$6:$W36)-10,))</f>
        <v>#REF!</v>
      </c>
      <c r="AI36" s="439" t="e">
        <f ca="1">(OFFSET($B$5,SUM($W$6:$W36)-1,)-OFFSET($B$5,SUM($W$6:$W36)-2,))+(OFFSET($B$5,SUM($W$6:$W36)-3,)-OFFSET($B$5,SUM($W$6:$W36)-4,))+(OFFSET($B$5,SUM($W$6:$W36)-5,)-OFFSET($B$5,SUM($W$6:$W36)-6,))+(OFFSET($B$5,SUM($W$6:$W36)-7,)-OFFSET($B$5,SUM($W$6:$W36)-8,))</f>
        <v>#REF!</v>
      </c>
      <c r="AJ36" s="439" t="e">
        <f ca="1">(OFFSET($B$5,SUM($W$6:$W36)-1,)-OFFSET($B$5,SUM($W$6:$W36)-2,))+(OFFSET($B$5,SUM($W$6:$W36)-3,)-OFFSET($B$5,SUM($W$6:$W36)-4,))+(OFFSET($B$5,SUM($W$6:$W36)-5,)-OFFSET($B$5,SUM($W$6:$W36)-6,))</f>
        <v>#REF!</v>
      </c>
      <c r="AK36" s="439">
        <f ca="1">(OFFSET($B$5,SUM($W$6:$W36)-1,)-OFFSET($B$5,SUM($W$6:$W36)-2,))+(OFFSET($B$5,SUM($W$6:$W36)-3,)-OFFSET($B$5,SUM($W$6:$W36)-4,))</f>
        <v>0</v>
      </c>
      <c r="AL36" s="439">
        <f ca="1">(OFFSET($B$5,SUM($W$6:$W36)-1,)-OFFSET($B$5,SUM($W$6:$W36)-2,))</f>
        <v>0</v>
      </c>
      <c r="AM36" s="433">
        <v>1.25</v>
      </c>
    </row>
    <row r="37" spans="2:39" ht="15.75" thickBot="1" x14ac:dyDescent="0.3">
      <c r="B37" s="338"/>
      <c r="C37" s="57"/>
      <c r="F37" s="445">
        <v>44408</v>
      </c>
      <c r="G37" s="380">
        <f t="shared" si="0"/>
        <v>44408</v>
      </c>
      <c r="H37" s="388">
        <f>X37</f>
        <v>0</v>
      </c>
      <c r="I37" s="388">
        <f ca="1">IFERROR(H37+T37+OFFSET($L$38,MATCH(F37,$K$39:$K$67,0),0)-$W$2,H37-$W$2)</f>
        <v>-0.33333333333333331</v>
      </c>
      <c r="J37" s="388">
        <f ca="1">I37</f>
        <v>-0.33333333333333331</v>
      </c>
      <c r="K37" s="507" t="s">
        <v>16</v>
      </c>
      <c r="L37" s="508"/>
      <c r="T37" s="438">
        <f t="shared" si="6"/>
        <v>0</v>
      </c>
      <c r="U37" s="439" t="b">
        <f t="shared" si="7"/>
        <v>0</v>
      </c>
      <c r="V37" s="440" t="b">
        <f t="shared" si="8"/>
        <v>0</v>
      </c>
      <c r="W37" s="437">
        <f t="shared" si="2"/>
        <v>0</v>
      </c>
      <c r="X37" s="439">
        <f t="shared" si="9"/>
        <v>0</v>
      </c>
      <c r="Y37" s="439">
        <f t="shared" si="10"/>
        <v>0</v>
      </c>
      <c r="Z37" s="439">
        <f t="shared" ref="Z37:Z100" si="26">X37+Y37</f>
        <v>0</v>
      </c>
      <c r="AA37" s="439" t="e">
        <f ca="1">(OFFSET($B$5,SUM($W$6:$W37),)-OFFSET($B$5,(SUM($W$6:$W37)-SUM($W37:$W37)+1),))</f>
        <v>#VALUE!</v>
      </c>
      <c r="AB37" s="439" t="e">
        <f ca="1">(OFFSET($B$5,SUM($W$6:$W37),)-OFFSET($B$5,SUM($W$6:$W37)-1,))+(OFFSET($B$5,SUM($W$6:$W37)-2,)-OFFSET($B$5,SUM($W$6:$W37)-3,))+(OFFSET($B$5,SUM($W$6:$W37)-4,)-OFFSET($B$5,SUM($W$6:$W37)-5,))+(OFFSET($B$5,SUM($W$6:$W37)-6,)-OFFSET($B$5,SUM($W$6:$W37)-7,))+(OFFSET($B$5,SUM($W$6:$W37)-8,)-OFFSET($B$5,SUM($W$6:$W37)-9,))+(OFFSET($B$5,SUM($W$6:$W37)-10,)-OFFSET($B$5,SUM($W$6:$W37)-11,))</f>
        <v>#VALUE!</v>
      </c>
      <c r="AC37" s="439" t="e">
        <f ca="1">(OFFSET($B$5,SUM($W$6:$W37),)-OFFSET($B$5,SUM($W$6:$W37)-1,))+(OFFSET($B$5,SUM($W$6:$W37)-2,)-OFFSET($B$5,SUM($W$6:$W37)-3,))+(OFFSET($B$5,SUM($W$6:$W37)-4,)-OFFSET($B$5,SUM($W$6:$W37)-5,))+(OFFSET($B$5,SUM($W$6:$W37)-6,)-OFFSET($B$5,SUM($W$6:$W37)-7,))+(OFFSET($B$5,SUM($W$6:$W37)-8,)-OFFSET($B$5,SUM($W$6:$W37)-9,))</f>
        <v>#VALUE!</v>
      </c>
      <c r="AD37" s="439" t="e">
        <f ca="1">(OFFSET($B$5,SUM($W$6:$W37),)-OFFSET($B$5,SUM($W$6:$W37)-1,))+(OFFSET($B$5,SUM($W$6:$W37)-2,)-OFFSET($B$5,SUM($W$6:$W37)-3,))+(OFFSET($B$5,SUM($W$6:$W37)-4,)-OFFSET($B$5,SUM($W$6:$W37)-5,))+(OFFSET($B$5,SUM($W$6:$W37)-6,)-OFFSET($B$5,SUM($W$6:$W37)-7,))</f>
        <v>#VALUE!</v>
      </c>
      <c r="AE37" s="439" t="e">
        <f ca="1">(OFFSET($B$5,SUM($W$6:$W37),)-OFFSET($B$5,SUM($W$6:$W37)-1,))+(OFFSET($B$5,SUM($W$6:$W37)-2,)-OFFSET($B$5,SUM($W$6:$W37)-3,))+(OFFSET($B$5,SUM($W$6:$W37)-4,)-OFFSET($B$5,SUM($W$6:$W37)-5,))</f>
        <v>#VALUE!</v>
      </c>
      <c r="AF37" s="439" t="e">
        <f ca="1">(OFFSET($B$5,SUM($W$6:$W37),)-OFFSET($B$5,SUM($W$6:$W37)-1,))+(OFFSET($B$5,SUM($W$6:$W37)-2,)-OFFSET($B$5,SUM($W$6:$W37)-3,))</f>
        <v>#VALUE!</v>
      </c>
      <c r="AG37" s="439" t="e">
        <f ca="1">(OFFSET($B$5,SUM($W$6:$W37),)-OFFSET($B$5,SUM($W$6:$W37)-1,))</f>
        <v>#VALUE!</v>
      </c>
      <c r="AH37" s="439" t="e">
        <f ca="1">(OFFSET($B$5,SUM($W$6:$W37)-1,)-OFFSET($B$5,SUM($W$6:$W37)-2,))+(OFFSET($B$5,SUM($W$6:$W37)-3,)-OFFSET($B$5,SUM($W$6:$W37)-4,))+(OFFSET($B$5,SUM($W$6:$W37)-5,)-OFFSET($B$5,SUM($W$6:$W37)-6,))+(OFFSET($B$5,SUM($W$6:$W37)-7,)-OFFSET($B$5,SUM($W$6:$W37)-8,))+(OFFSET($B$5,SUM($W$6:$W37)-9,)-OFFSET($B$5,SUM($W$6:$W37)-10,))</f>
        <v>#REF!</v>
      </c>
      <c r="AI37" s="439" t="e">
        <f ca="1">(OFFSET($B$5,SUM($W$6:$W37)-1,)-OFFSET($B$5,SUM($W$6:$W37)-2,))+(OFFSET($B$5,SUM($W$6:$W37)-3,)-OFFSET($B$5,SUM($W$6:$W37)-4,))+(OFFSET($B$5,SUM($W$6:$W37)-5,)-OFFSET($B$5,SUM($W$6:$W37)-6,))+(OFFSET($B$5,SUM($W$6:$W37)-7,)-OFFSET($B$5,SUM($W$6:$W37)-8,))</f>
        <v>#REF!</v>
      </c>
      <c r="AJ37" s="439" t="e">
        <f ca="1">(OFFSET($B$5,SUM($W$6:$W37)-1,)-OFFSET($B$5,SUM($W$6:$W37)-2,))+(OFFSET($B$5,SUM($W$6:$W37)-3,)-OFFSET($B$5,SUM($W$6:$W37)-4,))+(OFFSET($B$5,SUM($W$6:$W37)-5,)-OFFSET($B$5,SUM($W$6:$W37)-6,))</f>
        <v>#REF!</v>
      </c>
      <c r="AK37" s="439">
        <f ca="1">(OFFSET($B$5,SUM($W$6:$W37)-1,)-OFFSET($B$5,SUM($W$6:$W37)-2,))+(OFFSET($B$5,SUM($W$6:$W37)-3,)-OFFSET($B$5,SUM($W$6:$W37)-4,))</f>
        <v>0</v>
      </c>
      <c r="AL37" s="439">
        <f ca="1">(OFFSET($B$5,SUM($W$6:$W37)-1,)-OFFSET($B$5,SUM($W$6:$W37)-2,))</f>
        <v>0</v>
      </c>
      <c r="AM37" s="433">
        <v>1.2916666666666701</v>
      </c>
    </row>
    <row r="38" spans="2:39" x14ac:dyDescent="0.25">
      <c r="B38" s="338"/>
      <c r="C38" s="57"/>
      <c r="F38" s="371">
        <v>44409</v>
      </c>
      <c r="G38" s="404">
        <f t="shared" ref="G38:G69" si="27">F38</f>
        <v>44409</v>
      </c>
      <c r="H38" s="389"/>
      <c r="I38" s="389"/>
      <c r="J38" s="389"/>
      <c r="K38" s="399" t="s">
        <v>14</v>
      </c>
      <c r="L38" s="391" t="s">
        <v>15</v>
      </c>
      <c r="T38" s="438">
        <f t="shared" ref="T38:T69" si="28">IF(AND(X38&lt;$V$2,X38&gt;$U$2),U38,IF(X38&gt;$V$2,V38,$U$1))</f>
        <v>0</v>
      </c>
      <c r="U38" s="439" t="b">
        <f t="shared" ref="U38:U69" si="29">IF(AND(X38&lt;$V$2,X38&gt;$U$2),IF(Y38&lt;$V$1,$V$1,$U$1))</f>
        <v>0</v>
      </c>
      <c r="V38" s="440" t="b">
        <f t="shared" ref="V38:V69" si="30">IF(X38&gt;$V$2,IF(Y38&lt;$W$1,$W$1,$U$1))</f>
        <v>0</v>
      </c>
      <c r="W38" s="437">
        <f t="shared" ref="W38:W69" si="31">(COUNTIF($C$6:$C$9999,F38))</f>
        <v>0</v>
      </c>
      <c r="X38" s="439">
        <f t="shared" si="9"/>
        <v>0</v>
      </c>
      <c r="Y38" s="439">
        <f t="shared" si="10"/>
        <v>0</v>
      </c>
      <c r="Z38" s="439">
        <f t="shared" si="26"/>
        <v>0</v>
      </c>
      <c r="AA38" s="439" t="e">
        <f ca="1">(OFFSET($B$5,SUM($W$6:$W38),)-OFFSET($B$5,(SUM($W$6:$W38)-SUM($W38:$W38)+1),))</f>
        <v>#VALUE!</v>
      </c>
      <c r="AB38" s="439" t="e">
        <f ca="1">(OFFSET($B$5,SUM($W$6:$W38),)-OFFSET($B$5,SUM($W$6:$W38)-1,))+(OFFSET($B$5,SUM($W$6:$W38)-2,)-OFFSET($B$5,SUM($W$6:$W38)-3,))+(OFFSET($B$5,SUM($W$6:$W38)-4,)-OFFSET($B$5,SUM($W$6:$W38)-5,))+(OFFSET($B$5,SUM($W$6:$W38)-6,)-OFFSET($B$5,SUM($W$6:$W38)-7,))+(OFFSET($B$5,SUM($W$6:$W38)-8,)-OFFSET($B$5,SUM($W$6:$W38)-9,))+(OFFSET($B$5,SUM($W$6:$W38)-10,)-OFFSET($B$5,SUM($W$6:$W38)-11,))</f>
        <v>#VALUE!</v>
      </c>
      <c r="AC38" s="439" t="e">
        <f ca="1">(OFFSET($B$5,SUM($W$6:$W38),)-OFFSET($B$5,SUM($W$6:$W38)-1,))+(OFFSET($B$5,SUM($W$6:$W38)-2,)-OFFSET($B$5,SUM($W$6:$W38)-3,))+(OFFSET($B$5,SUM($W$6:$W38)-4,)-OFFSET($B$5,SUM($W$6:$W38)-5,))+(OFFSET($B$5,SUM($W$6:$W38)-6,)-OFFSET($B$5,SUM($W$6:$W38)-7,))+(OFFSET($B$5,SUM($W$6:$W38)-8,)-OFFSET($B$5,SUM($W$6:$W38)-9,))</f>
        <v>#VALUE!</v>
      </c>
      <c r="AD38" s="439" t="e">
        <f ca="1">(OFFSET($B$5,SUM($W$6:$W38),)-OFFSET($B$5,SUM($W$6:$W38)-1,))+(OFFSET($B$5,SUM($W$6:$W38)-2,)-OFFSET($B$5,SUM($W$6:$W38)-3,))+(OFFSET($B$5,SUM($W$6:$W38)-4,)-OFFSET($B$5,SUM($W$6:$W38)-5,))+(OFFSET($B$5,SUM($W$6:$W38)-6,)-OFFSET($B$5,SUM($W$6:$W38)-7,))</f>
        <v>#VALUE!</v>
      </c>
      <c r="AE38" s="439" t="e">
        <f ca="1">(OFFSET($B$5,SUM($W$6:$W38),)-OFFSET($B$5,SUM($W$6:$W38)-1,))+(OFFSET($B$5,SUM($W$6:$W38)-2,)-OFFSET($B$5,SUM($W$6:$W38)-3,))+(OFFSET($B$5,SUM($W$6:$W38)-4,)-OFFSET($B$5,SUM($W$6:$W38)-5,))</f>
        <v>#VALUE!</v>
      </c>
      <c r="AF38" s="439" t="e">
        <f ca="1">(OFFSET($B$5,SUM($W$6:$W38),)-OFFSET($B$5,SUM($W$6:$W38)-1,))+(OFFSET($B$5,SUM($W$6:$W38)-2,)-OFFSET($B$5,SUM($W$6:$W38)-3,))</f>
        <v>#VALUE!</v>
      </c>
      <c r="AG38" s="439" t="e">
        <f ca="1">(OFFSET($B$5,SUM($W$6:$W38),)-OFFSET($B$5,SUM($W$6:$W38)-1,))</f>
        <v>#VALUE!</v>
      </c>
      <c r="AH38" s="439" t="e">
        <f ca="1">(OFFSET($B$5,SUM($W$6:$W38)-1,)-OFFSET($B$5,SUM($W$6:$W38)-2,))+(OFFSET($B$5,SUM($W$6:$W38)-3,)-OFFSET($B$5,SUM($W$6:$W38)-4,))+(OFFSET($B$5,SUM($W$6:$W38)-5,)-OFFSET($B$5,SUM($W$6:$W38)-6,))+(OFFSET($B$5,SUM($W$6:$W38)-7,)-OFFSET($B$5,SUM($W$6:$W38)-8,))+(OFFSET($B$5,SUM($W$6:$W38)-9,)-OFFSET($B$5,SUM($W$6:$W38)-10,))</f>
        <v>#REF!</v>
      </c>
      <c r="AI38" s="439" t="e">
        <f ca="1">(OFFSET($B$5,SUM($W$6:$W38)-1,)-OFFSET($B$5,SUM($W$6:$W38)-2,))+(OFFSET($B$5,SUM($W$6:$W38)-3,)-OFFSET($B$5,SUM($W$6:$W38)-4,))+(OFFSET($B$5,SUM($W$6:$W38)-5,)-OFFSET($B$5,SUM($W$6:$W38)-6,))+(OFFSET($B$5,SUM($W$6:$W38)-7,)-OFFSET($B$5,SUM($W$6:$W38)-8,))</f>
        <v>#REF!</v>
      </c>
      <c r="AJ38" s="439" t="e">
        <f ca="1">(OFFSET($B$5,SUM($W$6:$W38)-1,)-OFFSET($B$5,SUM($W$6:$W38)-2,))+(OFFSET($B$5,SUM($W$6:$W38)-3,)-OFFSET($B$5,SUM($W$6:$W38)-4,))+(OFFSET($B$5,SUM($W$6:$W38)-5,)-OFFSET($B$5,SUM($W$6:$W38)-6,))</f>
        <v>#REF!</v>
      </c>
      <c r="AK38" s="439">
        <f ca="1">(OFFSET($B$5,SUM($W$6:$W38)-1,)-OFFSET($B$5,SUM($W$6:$W38)-2,))+(OFFSET($B$5,SUM($W$6:$W38)-3,)-OFFSET($B$5,SUM($W$6:$W38)-4,))</f>
        <v>0</v>
      </c>
      <c r="AL38" s="439">
        <f ca="1">(OFFSET($B$5,SUM($W$6:$W38)-1,)-OFFSET($B$5,SUM($W$6:$W38)-2,))</f>
        <v>0</v>
      </c>
      <c r="AM38" s="433">
        <v>1.3333333333333299</v>
      </c>
    </row>
    <row r="39" spans="2:39" x14ac:dyDescent="0.25">
      <c r="B39" s="338"/>
      <c r="C39" s="57"/>
      <c r="F39" s="371">
        <v>44410</v>
      </c>
      <c r="G39" s="404">
        <f t="shared" si="27"/>
        <v>44410</v>
      </c>
      <c r="H39" s="389"/>
      <c r="I39" s="389"/>
      <c r="J39" s="389"/>
      <c r="K39" s="163"/>
      <c r="L39" s="59"/>
      <c r="T39" s="438">
        <f t="shared" si="28"/>
        <v>0</v>
      </c>
      <c r="U39" s="439" t="b">
        <f t="shared" si="29"/>
        <v>0</v>
      </c>
      <c r="V39" s="440" t="b">
        <f t="shared" si="30"/>
        <v>0</v>
      </c>
      <c r="W39" s="437">
        <f t="shared" si="31"/>
        <v>0</v>
      </c>
      <c r="X39" s="439">
        <f t="shared" si="9"/>
        <v>0</v>
      </c>
      <c r="Y39" s="439">
        <f t="shared" si="10"/>
        <v>0</v>
      </c>
      <c r="Z39" s="439">
        <f t="shared" si="26"/>
        <v>0</v>
      </c>
      <c r="AA39" s="439" t="e">
        <f ca="1">(OFFSET($B$5,SUM($W$6:$W39),)-OFFSET($B$5,(SUM($W$6:$W39)-SUM($W39:$W39)+1),))</f>
        <v>#VALUE!</v>
      </c>
      <c r="AB39" s="439" t="e">
        <f ca="1">(OFFSET($B$5,SUM($W$6:$W39),)-OFFSET($B$5,SUM($W$6:$W39)-1,))+(OFFSET($B$5,SUM($W$6:$W39)-2,)-OFFSET($B$5,SUM($W$6:$W39)-3,))+(OFFSET($B$5,SUM($W$6:$W39)-4,)-OFFSET($B$5,SUM($W$6:$W39)-5,))+(OFFSET($B$5,SUM($W$6:$W39)-6,)-OFFSET($B$5,SUM($W$6:$W39)-7,))+(OFFSET($B$5,SUM($W$6:$W39)-8,)-OFFSET($B$5,SUM($W$6:$W39)-9,))+(OFFSET($B$5,SUM($W$6:$W39)-10,)-OFFSET($B$5,SUM($W$6:$W39)-11,))</f>
        <v>#VALUE!</v>
      </c>
      <c r="AC39" s="439" t="e">
        <f ca="1">(OFFSET($B$5,SUM($W$6:$W39),)-OFFSET($B$5,SUM($W$6:$W39)-1,))+(OFFSET($B$5,SUM($W$6:$W39)-2,)-OFFSET($B$5,SUM($W$6:$W39)-3,))+(OFFSET($B$5,SUM($W$6:$W39)-4,)-OFFSET($B$5,SUM($W$6:$W39)-5,))+(OFFSET($B$5,SUM($W$6:$W39)-6,)-OFFSET($B$5,SUM($W$6:$W39)-7,))+(OFFSET($B$5,SUM($W$6:$W39)-8,)-OFFSET($B$5,SUM($W$6:$W39)-9,))</f>
        <v>#VALUE!</v>
      </c>
      <c r="AD39" s="439" t="e">
        <f ca="1">(OFFSET($B$5,SUM($W$6:$W39),)-OFFSET($B$5,SUM($W$6:$W39)-1,))+(OFFSET($B$5,SUM($W$6:$W39)-2,)-OFFSET($B$5,SUM($W$6:$W39)-3,))+(OFFSET($B$5,SUM($W$6:$W39)-4,)-OFFSET($B$5,SUM($W$6:$W39)-5,))+(OFFSET($B$5,SUM($W$6:$W39)-6,)-OFFSET($B$5,SUM($W$6:$W39)-7,))</f>
        <v>#VALUE!</v>
      </c>
      <c r="AE39" s="439" t="e">
        <f ca="1">(OFFSET($B$5,SUM($W$6:$W39),)-OFFSET($B$5,SUM($W$6:$W39)-1,))+(OFFSET($B$5,SUM($W$6:$W39)-2,)-OFFSET($B$5,SUM($W$6:$W39)-3,))+(OFFSET($B$5,SUM($W$6:$W39)-4,)-OFFSET($B$5,SUM($W$6:$W39)-5,))</f>
        <v>#VALUE!</v>
      </c>
      <c r="AF39" s="439" t="e">
        <f ca="1">(OFFSET($B$5,SUM($W$6:$W39),)-OFFSET($B$5,SUM($W$6:$W39)-1,))+(OFFSET($B$5,SUM($W$6:$W39)-2,)-OFFSET($B$5,SUM($W$6:$W39)-3,))</f>
        <v>#VALUE!</v>
      </c>
      <c r="AG39" s="439" t="e">
        <f ca="1">(OFFSET($B$5,SUM($W$6:$W39),)-OFFSET($B$5,SUM($W$6:$W39)-1,))</f>
        <v>#VALUE!</v>
      </c>
      <c r="AH39" s="439" t="e">
        <f ca="1">(OFFSET($B$5,SUM($W$6:$W39)-1,)-OFFSET($B$5,SUM($W$6:$W39)-2,))+(OFFSET($B$5,SUM($W$6:$W39)-3,)-OFFSET($B$5,SUM($W$6:$W39)-4,))+(OFFSET($B$5,SUM($W$6:$W39)-5,)-OFFSET($B$5,SUM($W$6:$W39)-6,))+(OFFSET($B$5,SUM($W$6:$W39)-7,)-OFFSET($B$5,SUM($W$6:$W39)-8,))+(OFFSET($B$5,SUM($W$6:$W39)-9,)-OFFSET($B$5,SUM($W$6:$W39)-10,))</f>
        <v>#REF!</v>
      </c>
      <c r="AI39" s="439" t="e">
        <f ca="1">(OFFSET($B$5,SUM($W$6:$W39)-1,)-OFFSET($B$5,SUM($W$6:$W39)-2,))+(OFFSET($B$5,SUM($W$6:$W39)-3,)-OFFSET($B$5,SUM($W$6:$W39)-4,))+(OFFSET($B$5,SUM($W$6:$W39)-5,)-OFFSET($B$5,SUM($W$6:$W39)-6,))+(OFFSET($B$5,SUM($W$6:$W39)-7,)-OFFSET($B$5,SUM($W$6:$W39)-8,))</f>
        <v>#REF!</v>
      </c>
      <c r="AJ39" s="439" t="e">
        <f ca="1">(OFFSET($B$5,SUM($W$6:$W39)-1,)-OFFSET($B$5,SUM($W$6:$W39)-2,))+(OFFSET($B$5,SUM($W$6:$W39)-3,)-OFFSET($B$5,SUM($W$6:$W39)-4,))+(OFFSET($B$5,SUM($W$6:$W39)-5,)-OFFSET($B$5,SUM($W$6:$W39)-6,))</f>
        <v>#REF!</v>
      </c>
      <c r="AK39" s="439">
        <f ca="1">(OFFSET($B$5,SUM($W$6:$W39)-1,)-OFFSET($B$5,SUM($W$6:$W39)-2,))+(OFFSET($B$5,SUM($W$6:$W39)-3,)-OFFSET($B$5,SUM($W$6:$W39)-4,))</f>
        <v>0</v>
      </c>
      <c r="AL39" s="439">
        <f ca="1">(OFFSET($B$5,SUM($W$6:$W39)-1,)-OFFSET($B$5,SUM($W$6:$W39)-2,))</f>
        <v>0</v>
      </c>
      <c r="AM39" s="433">
        <v>1.375</v>
      </c>
    </row>
    <row r="40" spans="2:39" x14ac:dyDescent="0.25">
      <c r="B40" s="338"/>
      <c r="C40" s="57"/>
      <c r="F40" s="371">
        <v>44411</v>
      </c>
      <c r="G40" s="370">
        <f t="shared" si="27"/>
        <v>44411</v>
      </c>
      <c r="H40" s="386">
        <f>X40</f>
        <v>0</v>
      </c>
      <c r="I40" s="386">
        <f t="shared" ref="I40:I44" ca="1" si="32">IFERROR(H40+T40+OFFSET($L$38,MATCH(F40,$K$39:$K$67,0),0)-$W$2,H40-$W$2)</f>
        <v>-0.33333333333333331</v>
      </c>
      <c r="J40" s="386">
        <f ca="1">I40+J37</f>
        <v>-0.66666666666666663</v>
      </c>
      <c r="K40" s="163"/>
      <c r="L40" s="59"/>
      <c r="T40" s="438">
        <f t="shared" si="28"/>
        <v>0</v>
      </c>
      <c r="U40" s="439" t="b">
        <f t="shared" si="29"/>
        <v>0</v>
      </c>
      <c r="V40" s="440" t="b">
        <f t="shared" si="30"/>
        <v>0</v>
      </c>
      <c r="W40" s="437">
        <f t="shared" si="31"/>
        <v>0</v>
      </c>
      <c r="X40" s="439">
        <f t="shared" si="9"/>
        <v>0</v>
      </c>
      <c r="Y40" s="439">
        <f t="shared" si="10"/>
        <v>0</v>
      </c>
      <c r="Z40" s="439">
        <f t="shared" si="26"/>
        <v>0</v>
      </c>
      <c r="AA40" s="439" t="e">
        <f ca="1">(OFFSET($B$5,SUM($W$6:$W40),)-OFFSET($B$5,(SUM($W$6:$W40)-SUM($W40:$W40)+1),))</f>
        <v>#VALUE!</v>
      </c>
      <c r="AB40" s="439" t="e">
        <f ca="1">(OFFSET($B$5,SUM($W$6:$W40),)-OFFSET($B$5,SUM($W$6:$W40)-1,))+(OFFSET($B$5,SUM($W$6:$W40)-2,)-OFFSET($B$5,SUM($W$6:$W40)-3,))+(OFFSET($B$5,SUM($W$6:$W40)-4,)-OFFSET($B$5,SUM($W$6:$W40)-5,))+(OFFSET($B$5,SUM($W$6:$W40)-6,)-OFFSET($B$5,SUM($W$6:$W40)-7,))+(OFFSET($B$5,SUM($W$6:$W40)-8,)-OFFSET($B$5,SUM($W$6:$W40)-9,))+(OFFSET($B$5,SUM($W$6:$W40)-10,)-OFFSET($B$5,SUM($W$6:$W40)-11,))</f>
        <v>#VALUE!</v>
      </c>
      <c r="AC40" s="439" t="e">
        <f ca="1">(OFFSET($B$5,SUM($W$6:$W40),)-OFFSET($B$5,SUM($W$6:$W40)-1,))+(OFFSET($B$5,SUM($W$6:$W40)-2,)-OFFSET($B$5,SUM($W$6:$W40)-3,))+(OFFSET($B$5,SUM($W$6:$W40)-4,)-OFFSET($B$5,SUM($W$6:$W40)-5,))+(OFFSET($B$5,SUM($W$6:$W40)-6,)-OFFSET($B$5,SUM($W$6:$W40)-7,))+(OFFSET($B$5,SUM($W$6:$W40)-8,)-OFFSET($B$5,SUM($W$6:$W40)-9,))</f>
        <v>#VALUE!</v>
      </c>
      <c r="AD40" s="439" t="e">
        <f ca="1">(OFFSET($B$5,SUM($W$6:$W40),)-OFFSET($B$5,SUM($W$6:$W40)-1,))+(OFFSET($B$5,SUM($W$6:$W40)-2,)-OFFSET($B$5,SUM($W$6:$W40)-3,))+(OFFSET($B$5,SUM($W$6:$W40)-4,)-OFFSET($B$5,SUM($W$6:$W40)-5,))+(OFFSET($B$5,SUM($W$6:$W40)-6,)-OFFSET($B$5,SUM($W$6:$W40)-7,))</f>
        <v>#VALUE!</v>
      </c>
      <c r="AE40" s="439" t="e">
        <f ca="1">(OFFSET($B$5,SUM($W$6:$W40),)-OFFSET($B$5,SUM($W$6:$W40)-1,))+(OFFSET($B$5,SUM($W$6:$W40)-2,)-OFFSET($B$5,SUM($W$6:$W40)-3,))+(OFFSET($B$5,SUM($W$6:$W40)-4,)-OFFSET($B$5,SUM($W$6:$W40)-5,))</f>
        <v>#VALUE!</v>
      </c>
      <c r="AF40" s="439" t="e">
        <f ca="1">(OFFSET($B$5,SUM($W$6:$W40),)-OFFSET($B$5,SUM($W$6:$W40)-1,))+(OFFSET($B$5,SUM($W$6:$W40)-2,)-OFFSET($B$5,SUM($W$6:$W40)-3,))</f>
        <v>#VALUE!</v>
      </c>
      <c r="AG40" s="439" t="e">
        <f ca="1">(OFFSET($B$5,SUM($W$6:$W40),)-OFFSET($B$5,SUM($W$6:$W40)-1,))</f>
        <v>#VALUE!</v>
      </c>
      <c r="AH40" s="439" t="e">
        <f ca="1">(OFFSET($B$5,SUM($W$6:$W40)-1,)-OFFSET($B$5,SUM($W$6:$W40)-2,))+(OFFSET($B$5,SUM($W$6:$W40)-3,)-OFFSET($B$5,SUM($W$6:$W40)-4,))+(OFFSET($B$5,SUM($W$6:$W40)-5,)-OFFSET($B$5,SUM($W$6:$W40)-6,))+(OFFSET($B$5,SUM($W$6:$W40)-7,)-OFFSET($B$5,SUM($W$6:$W40)-8,))+(OFFSET($B$5,SUM($W$6:$W40)-9,)-OFFSET($B$5,SUM($W$6:$W40)-10,))</f>
        <v>#REF!</v>
      </c>
      <c r="AI40" s="439" t="e">
        <f ca="1">(OFFSET($B$5,SUM($W$6:$W40)-1,)-OFFSET($B$5,SUM($W$6:$W40)-2,))+(OFFSET($B$5,SUM($W$6:$W40)-3,)-OFFSET($B$5,SUM($W$6:$W40)-4,))+(OFFSET($B$5,SUM($W$6:$W40)-5,)-OFFSET($B$5,SUM($W$6:$W40)-6,))+(OFFSET($B$5,SUM($W$6:$W40)-7,)-OFFSET($B$5,SUM($W$6:$W40)-8,))</f>
        <v>#REF!</v>
      </c>
      <c r="AJ40" s="439" t="e">
        <f ca="1">(OFFSET($B$5,SUM($W$6:$W40)-1,)-OFFSET($B$5,SUM($W$6:$W40)-2,))+(OFFSET($B$5,SUM($W$6:$W40)-3,)-OFFSET($B$5,SUM($W$6:$W40)-4,))+(OFFSET($B$5,SUM($W$6:$W40)-5,)-OFFSET($B$5,SUM($W$6:$W40)-6,))</f>
        <v>#REF!</v>
      </c>
      <c r="AK40" s="439">
        <f ca="1">(OFFSET($B$5,SUM($W$6:$W40)-1,)-OFFSET($B$5,SUM($W$6:$W40)-2,))+(OFFSET($B$5,SUM($W$6:$W40)-3,)-OFFSET($B$5,SUM($W$6:$W40)-4,))</f>
        <v>0</v>
      </c>
      <c r="AL40" s="439">
        <f ca="1">(OFFSET($B$5,SUM($W$6:$W40)-1,)-OFFSET($B$5,SUM($W$6:$W40)-2,))</f>
        <v>0</v>
      </c>
      <c r="AM40" s="433">
        <v>1.4166666666666701</v>
      </c>
    </row>
    <row r="41" spans="2:39" x14ac:dyDescent="0.25">
      <c r="B41" s="338"/>
      <c r="C41" s="57"/>
      <c r="F41" s="371">
        <v>44412</v>
      </c>
      <c r="G41" s="370">
        <f t="shared" si="27"/>
        <v>44412</v>
      </c>
      <c r="H41" s="386">
        <f t="shared" ref="H41:H44" si="33">X41</f>
        <v>0</v>
      </c>
      <c r="I41" s="386">
        <f t="shared" ca="1" si="32"/>
        <v>-0.33333333333333331</v>
      </c>
      <c r="J41" s="386">
        <f ca="1">I41+J40</f>
        <v>-1</v>
      </c>
      <c r="K41" s="163"/>
      <c r="L41" s="59"/>
      <c r="T41" s="438">
        <f t="shared" si="28"/>
        <v>0</v>
      </c>
      <c r="U41" s="439" t="b">
        <f t="shared" si="29"/>
        <v>0</v>
      </c>
      <c r="V41" s="440" t="b">
        <f t="shared" si="30"/>
        <v>0</v>
      </c>
      <c r="W41" s="437">
        <f t="shared" si="31"/>
        <v>0</v>
      </c>
      <c r="X41" s="439">
        <f t="shared" si="9"/>
        <v>0</v>
      </c>
      <c r="Y41" s="439">
        <f t="shared" si="10"/>
        <v>0</v>
      </c>
      <c r="Z41" s="439">
        <f t="shared" si="26"/>
        <v>0</v>
      </c>
      <c r="AA41" s="439" t="e">
        <f ca="1">(OFFSET($B$5,SUM($W$6:$W41),)-OFFSET($B$5,(SUM($W$6:$W41)-SUM($W41:$W41)+1),))</f>
        <v>#VALUE!</v>
      </c>
      <c r="AB41" s="439" t="e">
        <f ca="1">(OFFSET($B$5,SUM($W$6:$W41),)-OFFSET($B$5,SUM($W$6:$W41)-1,))+(OFFSET($B$5,SUM($W$6:$W41)-2,)-OFFSET($B$5,SUM($W$6:$W41)-3,))+(OFFSET($B$5,SUM($W$6:$W41)-4,)-OFFSET($B$5,SUM($W$6:$W41)-5,))+(OFFSET($B$5,SUM($W$6:$W41)-6,)-OFFSET($B$5,SUM($W$6:$W41)-7,))+(OFFSET($B$5,SUM($W$6:$W41)-8,)-OFFSET($B$5,SUM($W$6:$W41)-9,))+(OFFSET($B$5,SUM($W$6:$W41)-10,)-OFFSET($B$5,SUM($W$6:$W41)-11,))</f>
        <v>#VALUE!</v>
      </c>
      <c r="AC41" s="439" t="e">
        <f ca="1">(OFFSET($B$5,SUM($W$6:$W41),)-OFFSET($B$5,SUM($W$6:$W41)-1,))+(OFFSET($B$5,SUM($W$6:$W41)-2,)-OFFSET($B$5,SUM($W$6:$W41)-3,))+(OFFSET($B$5,SUM($W$6:$W41)-4,)-OFFSET($B$5,SUM($W$6:$W41)-5,))+(OFFSET($B$5,SUM($W$6:$W41)-6,)-OFFSET($B$5,SUM($W$6:$W41)-7,))+(OFFSET($B$5,SUM($W$6:$W41)-8,)-OFFSET($B$5,SUM($W$6:$W41)-9,))</f>
        <v>#VALUE!</v>
      </c>
      <c r="AD41" s="439" t="e">
        <f ca="1">(OFFSET($B$5,SUM($W$6:$W41),)-OFFSET($B$5,SUM($W$6:$W41)-1,))+(OFFSET($B$5,SUM($W$6:$W41)-2,)-OFFSET($B$5,SUM($W$6:$W41)-3,))+(OFFSET($B$5,SUM($W$6:$W41)-4,)-OFFSET($B$5,SUM($W$6:$W41)-5,))+(OFFSET($B$5,SUM($W$6:$W41)-6,)-OFFSET($B$5,SUM($W$6:$W41)-7,))</f>
        <v>#VALUE!</v>
      </c>
      <c r="AE41" s="439" t="e">
        <f ca="1">(OFFSET($B$5,SUM($W$6:$W41),)-OFFSET($B$5,SUM($W$6:$W41)-1,))+(OFFSET($B$5,SUM($W$6:$W41)-2,)-OFFSET($B$5,SUM($W$6:$W41)-3,))+(OFFSET($B$5,SUM($W$6:$W41)-4,)-OFFSET($B$5,SUM($W$6:$W41)-5,))</f>
        <v>#VALUE!</v>
      </c>
      <c r="AF41" s="439" t="e">
        <f ca="1">(OFFSET($B$5,SUM($W$6:$W41),)-OFFSET($B$5,SUM($W$6:$W41)-1,))+(OFFSET($B$5,SUM($W$6:$W41)-2,)-OFFSET($B$5,SUM($W$6:$W41)-3,))</f>
        <v>#VALUE!</v>
      </c>
      <c r="AG41" s="439" t="e">
        <f ca="1">(OFFSET($B$5,SUM($W$6:$W41),)-OFFSET($B$5,SUM($W$6:$W41)-1,))</f>
        <v>#VALUE!</v>
      </c>
      <c r="AH41" s="439" t="e">
        <f ca="1">(OFFSET($B$5,SUM($W$6:$W41)-1,)-OFFSET($B$5,SUM($W$6:$W41)-2,))+(OFFSET($B$5,SUM($W$6:$W41)-3,)-OFFSET($B$5,SUM($W$6:$W41)-4,))+(OFFSET($B$5,SUM($W$6:$W41)-5,)-OFFSET($B$5,SUM($W$6:$W41)-6,))+(OFFSET($B$5,SUM($W$6:$W41)-7,)-OFFSET($B$5,SUM($W$6:$W41)-8,))+(OFFSET($B$5,SUM($W$6:$W41)-9,)-OFFSET($B$5,SUM($W$6:$W41)-10,))</f>
        <v>#REF!</v>
      </c>
      <c r="AI41" s="439" t="e">
        <f ca="1">(OFFSET($B$5,SUM($W$6:$W41)-1,)-OFFSET($B$5,SUM($W$6:$W41)-2,))+(OFFSET($B$5,SUM($W$6:$W41)-3,)-OFFSET($B$5,SUM($W$6:$W41)-4,))+(OFFSET($B$5,SUM($W$6:$W41)-5,)-OFFSET($B$5,SUM($W$6:$W41)-6,))+(OFFSET($B$5,SUM($W$6:$W41)-7,)-OFFSET($B$5,SUM($W$6:$W41)-8,))</f>
        <v>#REF!</v>
      </c>
      <c r="AJ41" s="439" t="e">
        <f ca="1">(OFFSET($B$5,SUM($W$6:$W41)-1,)-OFFSET($B$5,SUM($W$6:$W41)-2,))+(OFFSET($B$5,SUM($W$6:$W41)-3,)-OFFSET($B$5,SUM($W$6:$W41)-4,))+(OFFSET($B$5,SUM($W$6:$W41)-5,)-OFFSET($B$5,SUM($W$6:$W41)-6,))</f>
        <v>#REF!</v>
      </c>
      <c r="AK41" s="439">
        <f ca="1">(OFFSET($B$5,SUM($W$6:$W41)-1,)-OFFSET($B$5,SUM($W$6:$W41)-2,))+(OFFSET($B$5,SUM($W$6:$W41)-3,)-OFFSET($B$5,SUM($W$6:$W41)-4,))</f>
        <v>0</v>
      </c>
      <c r="AL41" s="439">
        <f ca="1">(OFFSET($B$5,SUM($W$6:$W41)-1,)-OFFSET($B$5,SUM($W$6:$W41)-2,))</f>
        <v>0</v>
      </c>
      <c r="AM41" s="433">
        <v>1.4583333333333299</v>
      </c>
    </row>
    <row r="42" spans="2:39" x14ac:dyDescent="0.25">
      <c r="B42" s="338"/>
      <c r="C42" s="57"/>
      <c r="F42" s="371">
        <v>44413</v>
      </c>
      <c r="G42" s="370">
        <f t="shared" si="27"/>
        <v>44413</v>
      </c>
      <c r="H42" s="386">
        <f t="shared" si="33"/>
        <v>0</v>
      </c>
      <c r="I42" s="386">
        <f t="shared" ca="1" si="32"/>
        <v>-0.33333333333333331</v>
      </c>
      <c r="J42" s="386">
        <f t="shared" ref="J42:J44" ca="1" si="34">I42+J41</f>
        <v>-1.3333333333333333</v>
      </c>
      <c r="K42" s="163"/>
      <c r="L42" s="59"/>
      <c r="T42" s="438">
        <f t="shared" si="28"/>
        <v>0</v>
      </c>
      <c r="U42" s="439" t="b">
        <f t="shared" si="29"/>
        <v>0</v>
      </c>
      <c r="V42" s="440" t="b">
        <f t="shared" si="30"/>
        <v>0</v>
      </c>
      <c r="W42" s="437">
        <f t="shared" si="31"/>
        <v>0</v>
      </c>
      <c r="X42" s="439">
        <f t="shared" si="9"/>
        <v>0</v>
      </c>
      <c r="Y42" s="439">
        <f t="shared" si="10"/>
        <v>0</v>
      </c>
      <c r="Z42" s="439">
        <f t="shared" si="26"/>
        <v>0</v>
      </c>
      <c r="AA42" s="439" t="e">
        <f ca="1">(OFFSET($B$5,SUM($W$6:$W42),)-OFFSET($B$5,(SUM($W$6:$W42)-SUM($W42:$W42)+1),))</f>
        <v>#VALUE!</v>
      </c>
      <c r="AB42" s="439" t="e">
        <f ca="1">(OFFSET($B$5,SUM($W$6:$W42),)-OFFSET($B$5,SUM($W$6:$W42)-1,))+(OFFSET($B$5,SUM($W$6:$W42)-2,)-OFFSET($B$5,SUM($W$6:$W42)-3,))+(OFFSET($B$5,SUM($W$6:$W42)-4,)-OFFSET($B$5,SUM($W$6:$W42)-5,))+(OFFSET($B$5,SUM($W$6:$W42)-6,)-OFFSET($B$5,SUM($W$6:$W42)-7,))+(OFFSET($B$5,SUM($W$6:$W42)-8,)-OFFSET($B$5,SUM($W$6:$W42)-9,))+(OFFSET($B$5,SUM($W$6:$W42)-10,)-OFFSET($B$5,SUM($W$6:$W42)-11,))</f>
        <v>#VALUE!</v>
      </c>
      <c r="AC42" s="439" t="e">
        <f ca="1">(OFFSET($B$5,SUM($W$6:$W42),)-OFFSET($B$5,SUM($W$6:$W42)-1,))+(OFFSET($B$5,SUM($W$6:$W42)-2,)-OFFSET($B$5,SUM($W$6:$W42)-3,))+(OFFSET($B$5,SUM($W$6:$W42)-4,)-OFFSET($B$5,SUM($W$6:$W42)-5,))+(OFFSET($B$5,SUM($W$6:$W42)-6,)-OFFSET($B$5,SUM($W$6:$W42)-7,))+(OFFSET($B$5,SUM($W$6:$W42)-8,)-OFFSET($B$5,SUM($W$6:$W42)-9,))</f>
        <v>#VALUE!</v>
      </c>
      <c r="AD42" s="439" t="e">
        <f ca="1">(OFFSET($B$5,SUM($W$6:$W42),)-OFFSET($B$5,SUM($W$6:$W42)-1,))+(OFFSET($B$5,SUM($W$6:$W42)-2,)-OFFSET($B$5,SUM($W$6:$W42)-3,))+(OFFSET($B$5,SUM($W$6:$W42)-4,)-OFFSET($B$5,SUM($W$6:$W42)-5,))+(OFFSET($B$5,SUM($W$6:$W42)-6,)-OFFSET($B$5,SUM($W$6:$W42)-7,))</f>
        <v>#VALUE!</v>
      </c>
      <c r="AE42" s="439" t="e">
        <f ca="1">(OFFSET($B$5,SUM($W$6:$W42),)-OFFSET($B$5,SUM($W$6:$W42)-1,))+(OFFSET($B$5,SUM($W$6:$W42)-2,)-OFFSET($B$5,SUM($W$6:$W42)-3,))+(OFFSET($B$5,SUM($W$6:$W42)-4,)-OFFSET($B$5,SUM($W$6:$W42)-5,))</f>
        <v>#VALUE!</v>
      </c>
      <c r="AF42" s="439" t="e">
        <f ca="1">(OFFSET($B$5,SUM($W$6:$W42),)-OFFSET($B$5,SUM($W$6:$W42)-1,))+(OFFSET($B$5,SUM($W$6:$W42)-2,)-OFFSET($B$5,SUM($W$6:$W42)-3,))</f>
        <v>#VALUE!</v>
      </c>
      <c r="AG42" s="439" t="e">
        <f ca="1">(OFFSET($B$5,SUM($W$6:$W42),)-OFFSET($B$5,SUM($W$6:$W42)-1,))</f>
        <v>#VALUE!</v>
      </c>
      <c r="AH42" s="439" t="e">
        <f ca="1">(OFFSET($B$5,SUM($W$6:$W42)-1,)-OFFSET($B$5,SUM($W$6:$W42)-2,))+(OFFSET($B$5,SUM($W$6:$W42)-3,)-OFFSET($B$5,SUM($W$6:$W42)-4,))+(OFFSET($B$5,SUM($W$6:$W42)-5,)-OFFSET($B$5,SUM($W$6:$W42)-6,))+(OFFSET($B$5,SUM($W$6:$W42)-7,)-OFFSET($B$5,SUM($W$6:$W42)-8,))+(OFFSET($B$5,SUM($W$6:$W42)-9,)-OFFSET($B$5,SUM($W$6:$W42)-10,))</f>
        <v>#REF!</v>
      </c>
      <c r="AI42" s="439" t="e">
        <f ca="1">(OFFSET($B$5,SUM($W$6:$W42)-1,)-OFFSET($B$5,SUM($W$6:$W42)-2,))+(OFFSET($B$5,SUM($W$6:$W42)-3,)-OFFSET($B$5,SUM($W$6:$W42)-4,))+(OFFSET($B$5,SUM($W$6:$W42)-5,)-OFFSET($B$5,SUM($W$6:$W42)-6,))+(OFFSET($B$5,SUM($W$6:$W42)-7,)-OFFSET($B$5,SUM($W$6:$W42)-8,))</f>
        <v>#REF!</v>
      </c>
      <c r="AJ42" s="439" t="e">
        <f ca="1">(OFFSET($B$5,SUM($W$6:$W42)-1,)-OFFSET($B$5,SUM($W$6:$W42)-2,))+(OFFSET($B$5,SUM($W$6:$W42)-3,)-OFFSET($B$5,SUM($W$6:$W42)-4,))+(OFFSET($B$5,SUM($W$6:$W42)-5,)-OFFSET($B$5,SUM($W$6:$W42)-6,))</f>
        <v>#REF!</v>
      </c>
      <c r="AK42" s="439">
        <f ca="1">(OFFSET($B$5,SUM($W$6:$W42)-1,)-OFFSET($B$5,SUM($W$6:$W42)-2,))+(OFFSET($B$5,SUM($W$6:$W42)-3,)-OFFSET($B$5,SUM($W$6:$W42)-4,))</f>
        <v>0</v>
      </c>
      <c r="AL42" s="439">
        <f ca="1">(OFFSET($B$5,SUM($W$6:$W42)-1,)-OFFSET($B$5,SUM($W$6:$W42)-2,))</f>
        <v>0</v>
      </c>
      <c r="AM42" s="433">
        <v>1.5</v>
      </c>
    </row>
    <row r="43" spans="2:39" x14ac:dyDescent="0.25">
      <c r="B43" s="338"/>
      <c r="C43" s="57"/>
      <c r="F43" s="371">
        <v>44414</v>
      </c>
      <c r="G43" s="370">
        <f t="shared" si="27"/>
        <v>44414</v>
      </c>
      <c r="H43" s="386">
        <f t="shared" si="33"/>
        <v>0</v>
      </c>
      <c r="I43" s="386">
        <f t="shared" ca="1" si="32"/>
        <v>-0.33333333333333331</v>
      </c>
      <c r="J43" s="386">
        <f t="shared" ca="1" si="34"/>
        <v>-1.6666666666666665</v>
      </c>
      <c r="K43" s="163"/>
      <c r="L43" s="59"/>
      <c r="T43" s="438">
        <f t="shared" si="28"/>
        <v>0</v>
      </c>
      <c r="U43" s="439" t="b">
        <f t="shared" si="29"/>
        <v>0</v>
      </c>
      <c r="V43" s="440" t="b">
        <f t="shared" si="30"/>
        <v>0</v>
      </c>
      <c r="W43" s="437">
        <f t="shared" si="31"/>
        <v>0</v>
      </c>
      <c r="X43" s="439">
        <f t="shared" si="9"/>
        <v>0</v>
      </c>
      <c r="Y43" s="439">
        <f t="shared" si="10"/>
        <v>0</v>
      </c>
      <c r="Z43" s="439">
        <f t="shared" si="26"/>
        <v>0</v>
      </c>
      <c r="AA43" s="439" t="e">
        <f ca="1">(OFFSET($B$5,SUM($W$6:$W43),)-OFFSET($B$5,(SUM($W$6:$W43)-SUM($W43:$W43)+1),))</f>
        <v>#VALUE!</v>
      </c>
      <c r="AB43" s="439" t="e">
        <f ca="1">(OFFSET($B$5,SUM($W$6:$W43),)-OFFSET($B$5,SUM($W$6:$W43)-1,))+(OFFSET($B$5,SUM($W$6:$W43)-2,)-OFFSET($B$5,SUM($W$6:$W43)-3,))+(OFFSET($B$5,SUM($W$6:$W43)-4,)-OFFSET($B$5,SUM($W$6:$W43)-5,))+(OFFSET($B$5,SUM($W$6:$W43)-6,)-OFFSET($B$5,SUM($W$6:$W43)-7,))+(OFFSET($B$5,SUM($W$6:$W43)-8,)-OFFSET($B$5,SUM($W$6:$W43)-9,))+(OFFSET($B$5,SUM($W$6:$W43)-10,)-OFFSET($B$5,SUM($W$6:$W43)-11,))</f>
        <v>#VALUE!</v>
      </c>
      <c r="AC43" s="439" t="e">
        <f ca="1">(OFFSET($B$5,SUM($W$6:$W43),)-OFFSET($B$5,SUM($W$6:$W43)-1,))+(OFFSET($B$5,SUM($W$6:$W43)-2,)-OFFSET($B$5,SUM($W$6:$W43)-3,))+(OFFSET($B$5,SUM($W$6:$W43)-4,)-OFFSET($B$5,SUM($W$6:$W43)-5,))+(OFFSET($B$5,SUM($W$6:$W43)-6,)-OFFSET($B$5,SUM($W$6:$W43)-7,))+(OFFSET($B$5,SUM($W$6:$W43)-8,)-OFFSET($B$5,SUM($W$6:$W43)-9,))</f>
        <v>#VALUE!</v>
      </c>
      <c r="AD43" s="439" t="e">
        <f ca="1">(OFFSET($B$5,SUM($W$6:$W43),)-OFFSET($B$5,SUM($W$6:$W43)-1,))+(OFFSET($B$5,SUM($W$6:$W43)-2,)-OFFSET($B$5,SUM($W$6:$W43)-3,))+(OFFSET($B$5,SUM($W$6:$W43)-4,)-OFFSET($B$5,SUM($W$6:$W43)-5,))+(OFFSET($B$5,SUM($W$6:$W43)-6,)-OFFSET($B$5,SUM($W$6:$W43)-7,))</f>
        <v>#VALUE!</v>
      </c>
      <c r="AE43" s="439" t="e">
        <f ca="1">(OFFSET($B$5,SUM($W$6:$W43),)-OFFSET($B$5,SUM($W$6:$W43)-1,))+(OFFSET($B$5,SUM($W$6:$W43)-2,)-OFFSET($B$5,SUM($W$6:$W43)-3,))+(OFFSET($B$5,SUM($W$6:$W43)-4,)-OFFSET($B$5,SUM($W$6:$W43)-5,))</f>
        <v>#VALUE!</v>
      </c>
      <c r="AF43" s="439" t="e">
        <f ca="1">(OFFSET($B$5,SUM($W$6:$W43),)-OFFSET($B$5,SUM($W$6:$W43)-1,))+(OFFSET($B$5,SUM($W$6:$W43)-2,)-OFFSET($B$5,SUM($W$6:$W43)-3,))</f>
        <v>#VALUE!</v>
      </c>
      <c r="AG43" s="439" t="e">
        <f ca="1">(OFFSET($B$5,SUM($W$6:$W43),)-OFFSET($B$5,SUM($W$6:$W43)-1,))</f>
        <v>#VALUE!</v>
      </c>
      <c r="AH43" s="439" t="e">
        <f ca="1">(OFFSET($B$5,SUM($W$6:$W43)-1,)-OFFSET($B$5,SUM($W$6:$W43)-2,))+(OFFSET($B$5,SUM($W$6:$W43)-3,)-OFFSET($B$5,SUM($W$6:$W43)-4,))+(OFFSET($B$5,SUM($W$6:$W43)-5,)-OFFSET($B$5,SUM($W$6:$W43)-6,))+(OFFSET($B$5,SUM($W$6:$W43)-7,)-OFFSET($B$5,SUM($W$6:$W43)-8,))+(OFFSET($B$5,SUM($W$6:$W43)-9,)-OFFSET($B$5,SUM($W$6:$W43)-10,))</f>
        <v>#REF!</v>
      </c>
      <c r="AI43" s="439" t="e">
        <f ca="1">(OFFSET($B$5,SUM($W$6:$W43)-1,)-OFFSET($B$5,SUM($W$6:$W43)-2,))+(OFFSET($B$5,SUM($W$6:$W43)-3,)-OFFSET($B$5,SUM($W$6:$W43)-4,))+(OFFSET($B$5,SUM($W$6:$W43)-5,)-OFFSET($B$5,SUM($W$6:$W43)-6,))+(OFFSET($B$5,SUM($W$6:$W43)-7,)-OFFSET($B$5,SUM($W$6:$W43)-8,))</f>
        <v>#REF!</v>
      </c>
      <c r="AJ43" s="439" t="e">
        <f ca="1">(OFFSET($B$5,SUM($W$6:$W43)-1,)-OFFSET($B$5,SUM($W$6:$W43)-2,))+(OFFSET($B$5,SUM($W$6:$W43)-3,)-OFFSET($B$5,SUM($W$6:$W43)-4,))+(OFFSET($B$5,SUM($W$6:$W43)-5,)-OFFSET($B$5,SUM($W$6:$W43)-6,))</f>
        <v>#REF!</v>
      </c>
      <c r="AK43" s="439">
        <f ca="1">(OFFSET($B$5,SUM($W$6:$W43)-1,)-OFFSET($B$5,SUM($W$6:$W43)-2,))+(OFFSET($B$5,SUM($W$6:$W43)-3,)-OFFSET($B$5,SUM($W$6:$W43)-4,))</f>
        <v>0</v>
      </c>
      <c r="AL43" s="439">
        <f ca="1">(OFFSET($B$5,SUM($W$6:$W43)-1,)-OFFSET($B$5,SUM($W$6:$W43)-2,))</f>
        <v>0</v>
      </c>
      <c r="AM43" s="433">
        <v>1.5416666666666701</v>
      </c>
    </row>
    <row r="44" spans="2:39" x14ac:dyDescent="0.25">
      <c r="B44" s="338"/>
      <c r="C44" s="57"/>
      <c r="F44" s="371">
        <v>44415</v>
      </c>
      <c r="G44" s="370">
        <f t="shared" si="27"/>
        <v>44415</v>
      </c>
      <c r="H44" s="386">
        <f t="shared" si="33"/>
        <v>0</v>
      </c>
      <c r="I44" s="386">
        <f t="shared" ca="1" si="32"/>
        <v>-0.33333333333333331</v>
      </c>
      <c r="J44" s="386">
        <f t="shared" ca="1" si="34"/>
        <v>-1.9999999999999998</v>
      </c>
      <c r="K44" s="163"/>
      <c r="L44" s="59"/>
      <c r="T44" s="438">
        <f t="shared" si="28"/>
        <v>0</v>
      </c>
      <c r="U44" s="439" t="b">
        <f t="shared" si="29"/>
        <v>0</v>
      </c>
      <c r="V44" s="440" t="b">
        <f t="shared" si="30"/>
        <v>0</v>
      </c>
      <c r="W44" s="437">
        <f t="shared" si="31"/>
        <v>0</v>
      </c>
      <c r="X44" s="439">
        <f t="shared" si="9"/>
        <v>0</v>
      </c>
      <c r="Y44" s="439">
        <f t="shared" si="10"/>
        <v>0</v>
      </c>
      <c r="Z44" s="439">
        <f t="shared" si="26"/>
        <v>0</v>
      </c>
      <c r="AA44" s="439" t="e">
        <f ca="1">(OFFSET($B$5,SUM($W$6:$W44),)-OFFSET($B$5,(SUM($W$6:$W44)-SUM($W44:$W44)+1),))</f>
        <v>#VALUE!</v>
      </c>
      <c r="AB44" s="439" t="e">
        <f ca="1">(OFFSET($B$5,SUM($W$6:$W44),)-OFFSET($B$5,SUM($W$6:$W44)-1,))+(OFFSET($B$5,SUM($W$6:$W44)-2,)-OFFSET($B$5,SUM($W$6:$W44)-3,))+(OFFSET($B$5,SUM($W$6:$W44)-4,)-OFFSET($B$5,SUM($W$6:$W44)-5,))+(OFFSET($B$5,SUM($W$6:$W44)-6,)-OFFSET($B$5,SUM($W$6:$W44)-7,))+(OFFSET($B$5,SUM($W$6:$W44)-8,)-OFFSET($B$5,SUM($W$6:$W44)-9,))+(OFFSET($B$5,SUM($W$6:$W44)-10,)-OFFSET($B$5,SUM($W$6:$W44)-11,))</f>
        <v>#VALUE!</v>
      </c>
      <c r="AC44" s="439" t="e">
        <f ca="1">(OFFSET($B$5,SUM($W$6:$W44),)-OFFSET($B$5,SUM($W$6:$W44)-1,))+(OFFSET($B$5,SUM($W$6:$W44)-2,)-OFFSET($B$5,SUM($W$6:$W44)-3,))+(OFFSET($B$5,SUM($W$6:$W44)-4,)-OFFSET($B$5,SUM($W$6:$W44)-5,))+(OFFSET($B$5,SUM($W$6:$W44)-6,)-OFFSET($B$5,SUM($W$6:$W44)-7,))+(OFFSET($B$5,SUM($W$6:$W44)-8,)-OFFSET($B$5,SUM($W$6:$W44)-9,))</f>
        <v>#VALUE!</v>
      </c>
      <c r="AD44" s="439" t="e">
        <f ca="1">(OFFSET($B$5,SUM($W$6:$W44),)-OFFSET($B$5,SUM($W$6:$W44)-1,))+(OFFSET($B$5,SUM($W$6:$W44)-2,)-OFFSET($B$5,SUM($W$6:$W44)-3,))+(OFFSET($B$5,SUM($W$6:$W44)-4,)-OFFSET($B$5,SUM($W$6:$W44)-5,))+(OFFSET($B$5,SUM($W$6:$W44)-6,)-OFFSET($B$5,SUM($W$6:$W44)-7,))</f>
        <v>#VALUE!</v>
      </c>
      <c r="AE44" s="439" t="e">
        <f ca="1">(OFFSET($B$5,SUM($W$6:$W44),)-OFFSET($B$5,SUM($W$6:$W44)-1,))+(OFFSET($B$5,SUM($W$6:$W44)-2,)-OFFSET($B$5,SUM($W$6:$W44)-3,))+(OFFSET($B$5,SUM($W$6:$W44)-4,)-OFFSET($B$5,SUM($W$6:$W44)-5,))</f>
        <v>#VALUE!</v>
      </c>
      <c r="AF44" s="439" t="e">
        <f ca="1">(OFFSET($B$5,SUM($W$6:$W44),)-OFFSET($B$5,SUM($W$6:$W44)-1,))+(OFFSET($B$5,SUM($W$6:$W44)-2,)-OFFSET($B$5,SUM($W$6:$W44)-3,))</f>
        <v>#VALUE!</v>
      </c>
      <c r="AG44" s="439" t="e">
        <f ca="1">(OFFSET($B$5,SUM($W$6:$W44),)-OFFSET($B$5,SUM($W$6:$W44)-1,))</f>
        <v>#VALUE!</v>
      </c>
      <c r="AH44" s="439" t="e">
        <f ca="1">(OFFSET($B$5,SUM($W$6:$W44)-1,)-OFFSET($B$5,SUM($W$6:$W44)-2,))+(OFFSET($B$5,SUM($W$6:$W44)-3,)-OFFSET($B$5,SUM($W$6:$W44)-4,))+(OFFSET($B$5,SUM($W$6:$W44)-5,)-OFFSET($B$5,SUM($W$6:$W44)-6,))+(OFFSET($B$5,SUM($W$6:$W44)-7,)-OFFSET($B$5,SUM($W$6:$W44)-8,))+(OFFSET($B$5,SUM($W$6:$W44)-9,)-OFFSET($B$5,SUM($W$6:$W44)-10,))</f>
        <v>#REF!</v>
      </c>
      <c r="AI44" s="439" t="e">
        <f ca="1">(OFFSET($B$5,SUM($W$6:$W44)-1,)-OFFSET($B$5,SUM($W$6:$W44)-2,))+(OFFSET($B$5,SUM($W$6:$W44)-3,)-OFFSET($B$5,SUM($W$6:$W44)-4,))+(OFFSET($B$5,SUM($W$6:$W44)-5,)-OFFSET($B$5,SUM($W$6:$W44)-6,))+(OFFSET($B$5,SUM($W$6:$W44)-7,)-OFFSET($B$5,SUM($W$6:$W44)-8,))</f>
        <v>#REF!</v>
      </c>
      <c r="AJ44" s="439" t="e">
        <f ca="1">(OFFSET($B$5,SUM($W$6:$W44)-1,)-OFFSET($B$5,SUM($W$6:$W44)-2,))+(OFFSET($B$5,SUM($W$6:$W44)-3,)-OFFSET($B$5,SUM($W$6:$W44)-4,))+(OFFSET($B$5,SUM($W$6:$W44)-5,)-OFFSET($B$5,SUM($W$6:$W44)-6,))</f>
        <v>#REF!</v>
      </c>
      <c r="AK44" s="439">
        <f ca="1">(OFFSET($B$5,SUM($W$6:$W44)-1,)-OFFSET($B$5,SUM($W$6:$W44)-2,))+(OFFSET($B$5,SUM($W$6:$W44)-3,)-OFFSET($B$5,SUM($W$6:$W44)-4,))</f>
        <v>0</v>
      </c>
      <c r="AL44" s="439">
        <f ca="1">(OFFSET($B$5,SUM($W$6:$W44)-1,)-OFFSET($B$5,SUM($W$6:$W44)-2,))</f>
        <v>0</v>
      </c>
      <c r="AM44" s="433">
        <v>1.5833333333333299</v>
      </c>
    </row>
    <row r="45" spans="2:39" x14ac:dyDescent="0.25">
      <c r="B45" s="338"/>
      <c r="C45" s="57"/>
      <c r="F45" s="371">
        <v>44416</v>
      </c>
      <c r="G45" s="404">
        <f t="shared" si="27"/>
        <v>44416</v>
      </c>
      <c r="H45" s="389"/>
      <c r="I45" s="389"/>
      <c r="J45" s="389"/>
      <c r="K45" s="163"/>
      <c r="L45" s="59"/>
      <c r="T45" s="438">
        <f t="shared" si="28"/>
        <v>0</v>
      </c>
      <c r="U45" s="439" t="b">
        <f t="shared" si="29"/>
        <v>0</v>
      </c>
      <c r="V45" s="440" t="b">
        <f t="shared" si="30"/>
        <v>0</v>
      </c>
      <c r="W45" s="437">
        <f t="shared" si="31"/>
        <v>0</v>
      </c>
      <c r="X45" s="439">
        <f t="shared" si="9"/>
        <v>0</v>
      </c>
      <c r="Y45" s="439">
        <f t="shared" si="10"/>
        <v>0</v>
      </c>
      <c r="Z45" s="439">
        <f t="shared" si="26"/>
        <v>0</v>
      </c>
      <c r="AA45" s="439" t="e">
        <f ca="1">(OFFSET($B$5,SUM($W$6:$W45),)-OFFSET($B$5,(SUM($W$6:$W45)-SUM($W45:$W45)+1),))</f>
        <v>#VALUE!</v>
      </c>
      <c r="AB45" s="439" t="e">
        <f ca="1">(OFFSET($B$5,SUM($W$6:$W45),)-OFFSET($B$5,SUM($W$6:$W45)-1,))+(OFFSET($B$5,SUM($W$6:$W45)-2,)-OFFSET($B$5,SUM($W$6:$W45)-3,))+(OFFSET($B$5,SUM($W$6:$W45)-4,)-OFFSET($B$5,SUM($W$6:$W45)-5,))+(OFFSET($B$5,SUM($W$6:$W45)-6,)-OFFSET($B$5,SUM($W$6:$W45)-7,))+(OFFSET($B$5,SUM($W$6:$W45)-8,)-OFFSET($B$5,SUM($W$6:$W45)-9,))+(OFFSET($B$5,SUM($W$6:$W45)-10,)-OFFSET($B$5,SUM($W$6:$W45)-11,))</f>
        <v>#VALUE!</v>
      </c>
      <c r="AC45" s="439" t="e">
        <f ca="1">(OFFSET($B$5,SUM($W$6:$W45),)-OFFSET($B$5,SUM($W$6:$W45)-1,))+(OFFSET($B$5,SUM($W$6:$W45)-2,)-OFFSET($B$5,SUM($W$6:$W45)-3,))+(OFFSET($B$5,SUM($W$6:$W45)-4,)-OFFSET($B$5,SUM($W$6:$W45)-5,))+(OFFSET($B$5,SUM($W$6:$W45)-6,)-OFFSET($B$5,SUM($W$6:$W45)-7,))+(OFFSET($B$5,SUM($W$6:$W45)-8,)-OFFSET($B$5,SUM($W$6:$W45)-9,))</f>
        <v>#VALUE!</v>
      </c>
      <c r="AD45" s="439" t="e">
        <f ca="1">(OFFSET($B$5,SUM($W$6:$W45),)-OFFSET($B$5,SUM($W$6:$W45)-1,))+(OFFSET($B$5,SUM($W$6:$W45)-2,)-OFFSET($B$5,SUM($W$6:$W45)-3,))+(OFFSET($B$5,SUM($W$6:$W45)-4,)-OFFSET($B$5,SUM($W$6:$W45)-5,))+(OFFSET($B$5,SUM($W$6:$W45)-6,)-OFFSET($B$5,SUM($W$6:$W45)-7,))</f>
        <v>#VALUE!</v>
      </c>
      <c r="AE45" s="439" t="e">
        <f ca="1">(OFFSET($B$5,SUM($W$6:$W45),)-OFFSET($B$5,SUM($W$6:$W45)-1,))+(OFFSET($B$5,SUM($W$6:$W45)-2,)-OFFSET($B$5,SUM($W$6:$W45)-3,))+(OFFSET($B$5,SUM($W$6:$W45)-4,)-OFFSET($B$5,SUM($W$6:$W45)-5,))</f>
        <v>#VALUE!</v>
      </c>
      <c r="AF45" s="439" t="e">
        <f ca="1">(OFFSET($B$5,SUM($W$6:$W45),)-OFFSET($B$5,SUM($W$6:$W45)-1,))+(OFFSET($B$5,SUM($W$6:$W45)-2,)-OFFSET($B$5,SUM($W$6:$W45)-3,))</f>
        <v>#VALUE!</v>
      </c>
      <c r="AG45" s="439" t="e">
        <f ca="1">(OFFSET($B$5,SUM($W$6:$W45),)-OFFSET($B$5,SUM($W$6:$W45)-1,))</f>
        <v>#VALUE!</v>
      </c>
      <c r="AH45" s="439" t="e">
        <f ca="1">(OFFSET($B$5,SUM($W$6:$W45)-1,)-OFFSET($B$5,SUM($W$6:$W45)-2,))+(OFFSET($B$5,SUM($W$6:$W45)-3,)-OFFSET($B$5,SUM($W$6:$W45)-4,))+(OFFSET($B$5,SUM($W$6:$W45)-5,)-OFFSET($B$5,SUM($W$6:$W45)-6,))+(OFFSET($B$5,SUM($W$6:$W45)-7,)-OFFSET($B$5,SUM($W$6:$W45)-8,))+(OFFSET($B$5,SUM($W$6:$W45)-9,)-OFFSET($B$5,SUM($W$6:$W45)-10,))</f>
        <v>#REF!</v>
      </c>
      <c r="AI45" s="439" t="e">
        <f ca="1">(OFFSET($B$5,SUM($W$6:$W45)-1,)-OFFSET($B$5,SUM($W$6:$W45)-2,))+(OFFSET($B$5,SUM($W$6:$W45)-3,)-OFFSET($B$5,SUM($W$6:$W45)-4,))+(OFFSET($B$5,SUM($W$6:$W45)-5,)-OFFSET($B$5,SUM($W$6:$W45)-6,))+(OFFSET($B$5,SUM($W$6:$W45)-7,)-OFFSET($B$5,SUM($W$6:$W45)-8,))</f>
        <v>#REF!</v>
      </c>
      <c r="AJ45" s="439" t="e">
        <f ca="1">(OFFSET($B$5,SUM($W$6:$W45)-1,)-OFFSET($B$5,SUM($W$6:$W45)-2,))+(OFFSET($B$5,SUM($W$6:$W45)-3,)-OFFSET($B$5,SUM($W$6:$W45)-4,))+(OFFSET($B$5,SUM($W$6:$W45)-5,)-OFFSET($B$5,SUM($W$6:$W45)-6,))</f>
        <v>#REF!</v>
      </c>
      <c r="AK45" s="439">
        <f ca="1">(OFFSET($B$5,SUM($W$6:$W45)-1,)-OFFSET($B$5,SUM($W$6:$W45)-2,))+(OFFSET($B$5,SUM($W$6:$W45)-3,)-OFFSET($B$5,SUM($W$6:$W45)-4,))</f>
        <v>0</v>
      </c>
      <c r="AL45" s="439">
        <f ca="1">(OFFSET($B$5,SUM($W$6:$W45)-1,)-OFFSET($B$5,SUM($W$6:$W45)-2,))</f>
        <v>0</v>
      </c>
      <c r="AM45" s="433">
        <v>1.625</v>
      </c>
    </row>
    <row r="46" spans="2:39" x14ac:dyDescent="0.25">
      <c r="B46" s="338"/>
      <c r="C46" s="57"/>
      <c r="F46" s="371">
        <v>44417</v>
      </c>
      <c r="G46" s="404">
        <f t="shared" si="27"/>
        <v>44417</v>
      </c>
      <c r="H46" s="389"/>
      <c r="I46" s="389"/>
      <c r="J46" s="389"/>
      <c r="K46" s="163"/>
      <c r="L46" s="59"/>
      <c r="T46" s="438">
        <f t="shared" si="28"/>
        <v>0</v>
      </c>
      <c r="U46" s="439" t="b">
        <f t="shared" si="29"/>
        <v>0</v>
      </c>
      <c r="V46" s="440" t="b">
        <f t="shared" si="30"/>
        <v>0</v>
      </c>
      <c r="W46" s="437">
        <f t="shared" si="31"/>
        <v>0</v>
      </c>
      <c r="X46" s="439">
        <f t="shared" si="9"/>
        <v>0</v>
      </c>
      <c r="Y46" s="439">
        <f t="shared" si="10"/>
        <v>0</v>
      </c>
      <c r="Z46" s="439">
        <f t="shared" si="26"/>
        <v>0</v>
      </c>
      <c r="AA46" s="439" t="e">
        <f ca="1">(OFFSET($B$5,SUM($W$6:$W46),)-OFFSET($B$5,(SUM($W$6:$W46)-SUM($W46:$W46)+1),))</f>
        <v>#VALUE!</v>
      </c>
      <c r="AB46" s="439" t="e">
        <f ca="1">(OFFSET($B$5,SUM($W$6:$W46),)-OFFSET($B$5,SUM($W$6:$W46)-1,))+(OFFSET($B$5,SUM($W$6:$W46)-2,)-OFFSET($B$5,SUM($W$6:$W46)-3,))+(OFFSET($B$5,SUM($W$6:$W46)-4,)-OFFSET($B$5,SUM($W$6:$W46)-5,))+(OFFSET($B$5,SUM($W$6:$W46)-6,)-OFFSET($B$5,SUM($W$6:$W46)-7,))+(OFFSET($B$5,SUM($W$6:$W46)-8,)-OFFSET($B$5,SUM($W$6:$W46)-9,))+(OFFSET($B$5,SUM($W$6:$W46)-10,)-OFFSET($B$5,SUM($W$6:$W46)-11,))</f>
        <v>#VALUE!</v>
      </c>
      <c r="AC46" s="439" t="e">
        <f ca="1">(OFFSET($B$5,SUM($W$6:$W46),)-OFFSET($B$5,SUM($W$6:$W46)-1,))+(OFFSET($B$5,SUM($W$6:$W46)-2,)-OFFSET($B$5,SUM($W$6:$W46)-3,))+(OFFSET($B$5,SUM($W$6:$W46)-4,)-OFFSET($B$5,SUM($W$6:$W46)-5,))+(OFFSET($B$5,SUM($W$6:$W46)-6,)-OFFSET($B$5,SUM($W$6:$W46)-7,))+(OFFSET($B$5,SUM($W$6:$W46)-8,)-OFFSET($B$5,SUM($W$6:$W46)-9,))</f>
        <v>#VALUE!</v>
      </c>
      <c r="AD46" s="439" t="e">
        <f ca="1">(OFFSET($B$5,SUM($W$6:$W46),)-OFFSET($B$5,SUM($W$6:$W46)-1,))+(OFFSET($B$5,SUM($W$6:$W46)-2,)-OFFSET($B$5,SUM($W$6:$W46)-3,))+(OFFSET($B$5,SUM($W$6:$W46)-4,)-OFFSET($B$5,SUM($W$6:$W46)-5,))+(OFFSET($B$5,SUM($W$6:$W46)-6,)-OFFSET($B$5,SUM($W$6:$W46)-7,))</f>
        <v>#VALUE!</v>
      </c>
      <c r="AE46" s="439" t="e">
        <f ca="1">(OFFSET($B$5,SUM($W$6:$W46),)-OFFSET($B$5,SUM($W$6:$W46)-1,))+(OFFSET($B$5,SUM($W$6:$W46)-2,)-OFFSET($B$5,SUM($W$6:$W46)-3,))+(OFFSET($B$5,SUM($W$6:$W46)-4,)-OFFSET($B$5,SUM($W$6:$W46)-5,))</f>
        <v>#VALUE!</v>
      </c>
      <c r="AF46" s="439" t="e">
        <f ca="1">(OFFSET($B$5,SUM($W$6:$W46),)-OFFSET($B$5,SUM($W$6:$W46)-1,))+(OFFSET($B$5,SUM($W$6:$W46)-2,)-OFFSET($B$5,SUM($W$6:$W46)-3,))</f>
        <v>#VALUE!</v>
      </c>
      <c r="AG46" s="439" t="e">
        <f ca="1">(OFFSET($B$5,SUM($W$6:$W46),)-OFFSET($B$5,SUM($W$6:$W46)-1,))</f>
        <v>#VALUE!</v>
      </c>
      <c r="AH46" s="439" t="e">
        <f ca="1">(OFFSET($B$5,SUM($W$6:$W46)-1,)-OFFSET($B$5,SUM($W$6:$W46)-2,))+(OFFSET($B$5,SUM($W$6:$W46)-3,)-OFFSET($B$5,SUM($W$6:$W46)-4,))+(OFFSET($B$5,SUM($W$6:$W46)-5,)-OFFSET($B$5,SUM($W$6:$W46)-6,))+(OFFSET($B$5,SUM($W$6:$W46)-7,)-OFFSET($B$5,SUM($W$6:$W46)-8,))+(OFFSET($B$5,SUM($W$6:$W46)-9,)-OFFSET($B$5,SUM($W$6:$W46)-10,))</f>
        <v>#REF!</v>
      </c>
      <c r="AI46" s="439" t="e">
        <f ca="1">(OFFSET($B$5,SUM($W$6:$W46)-1,)-OFFSET($B$5,SUM($W$6:$W46)-2,))+(OFFSET($B$5,SUM($W$6:$W46)-3,)-OFFSET($B$5,SUM($W$6:$W46)-4,))+(OFFSET($B$5,SUM($W$6:$W46)-5,)-OFFSET($B$5,SUM($W$6:$W46)-6,))+(OFFSET($B$5,SUM($W$6:$W46)-7,)-OFFSET($B$5,SUM($W$6:$W46)-8,))</f>
        <v>#REF!</v>
      </c>
      <c r="AJ46" s="439" t="e">
        <f ca="1">(OFFSET($B$5,SUM($W$6:$W46)-1,)-OFFSET($B$5,SUM($W$6:$W46)-2,))+(OFFSET($B$5,SUM($W$6:$W46)-3,)-OFFSET($B$5,SUM($W$6:$W46)-4,))+(OFFSET($B$5,SUM($W$6:$W46)-5,)-OFFSET($B$5,SUM($W$6:$W46)-6,))</f>
        <v>#REF!</v>
      </c>
      <c r="AK46" s="439">
        <f ca="1">(OFFSET($B$5,SUM($W$6:$W46)-1,)-OFFSET($B$5,SUM($W$6:$W46)-2,))+(OFFSET($B$5,SUM($W$6:$W46)-3,)-OFFSET($B$5,SUM($W$6:$W46)-4,))</f>
        <v>0</v>
      </c>
      <c r="AL46" s="439">
        <f ca="1">(OFFSET($B$5,SUM($W$6:$W46)-1,)-OFFSET($B$5,SUM($W$6:$W46)-2,))</f>
        <v>0</v>
      </c>
      <c r="AM46" s="433">
        <v>1.6666666666666701</v>
      </c>
    </row>
    <row r="47" spans="2:39" x14ac:dyDescent="0.25">
      <c r="B47" s="338"/>
      <c r="C47" s="57"/>
      <c r="F47" s="371">
        <v>44418</v>
      </c>
      <c r="G47" s="370">
        <f t="shared" si="27"/>
        <v>44418</v>
      </c>
      <c r="H47" s="386">
        <f t="shared" ref="H47:H51" si="35">X47</f>
        <v>0</v>
      </c>
      <c r="I47" s="386">
        <f t="shared" ref="I47:I51" ca="1" si="36">IFERROR(H47+T47+OFFSET($L$38,MATCH(F47,$K$39:$K$67,0),0)-$W$2,H47-$W$2)</f>
        <v>-0.33333333333333331</v>
      </c>
      <c r="J47" s="386">
        <f ca="1">I47+J44</f>
        <v>-2.333333333333333</v>
      </c>
      <c r="K47" s="163"/>
      <c r="L47" s="59"/>
      <c r="T47" s="438">
        <f t="shared" si="28"/>
        <v>0</v>
      </c>
      <c r="U47" s="439" t="b">
        <f t="shared" si="29"/>
        <v>0</v>
      </c>
      <c r="V47" s="440" t="b">
        <f t="shared" si="30"/>
        <v>0</v>
      </c>
      <c r="W47" s="437">
        <f t="shared" si="31"/>
        <v>0</v>
      </c>
      <c r="X47" s="439">
        <f t="shared" si="9"/>
        <v>0</v>
      </c>
      <c r="Y47" s="439">
        <f t="shared" si="10"/>
        <v>0</v>
      </c>
      <c r="Z47" s="439">
        <f t="shared" si="26"/>
        <v>0</v>
      </c>
      <c r="AA47" s="439" t="e">
        <f ca="1">(OFFSET($B$5,SUM($W$6:$W47),)-OFFSET($B$5,(SUM($W$6:$W47)-SUM($W47:$W47)+1),))</f>
        <v>#VALUE!</v>
      </c>
      <c r="AB47" s="439" t="e">
        <f ca="1">(OFFSET($B$5,SUM($W$6:$W47),)-OFFSET($B$5,SUM($W$6:$W47)-1,))+(OFFSET($B$5,SUM($W$6:$W47)-2,)-OFFSET($B$5,SUM($W$6:$W47)-3,))+(OFFSET($B$5,SUM($W$6:$W47)-4,)-OFFSET($B$5,SUM($W$6:$W47)-5,))+(OFFSET($B$5,SUM($W$6:$W47)-6,)-OFFSET($B$5,SUM($W$6:$W47)-7,))+(OFFSET($B$5,SUM($W$6:$W47)-8,)-OFFSET($B$5,SUM($W$6:$W47)-9,))+(OFFSET($B$5,SUM($W$6:$W47)-10,)-OFFSET($B$5,SUM($W$6:$W47)-11,))</f>
        <v>#VALUE!</v>
      </c>
      <c r="AC47" s="439" t="e">
        <f ca="1">(OFFSET($B$5,SUM($W$6:$W47),)-OFFSET($B$5,SUM($W$6:$W47)-1,))+(OFFSET($B$5,SUM($W$6:$W47)-2,)-OFFSET($B$5,SUM($W$6:$W47)-3,))+(OFFSET($B$5,SUM($W$6:$W47)-4,)-OFFSET($B$5,SUM($W$6:$W47)-5,))+(OFFSET($B$5,SUM($W$6:$W47)-6,)-OFFSET($B$5,SUM($W$6:$W47)-7,))+(OFFSET($B$5,SUM($W$6:$W47)-8,)-OFFSET($B$5,SUM($W$6:$W47)-9,))</f>
        <v>#VALUE!</v>
      </c>
      <c r="AD47" s="439" t="e">
        <f ca="1">(OFFSET($B$5,SUM($W$6:$W47),)-OFFSET($B$5,SUM($W$6:$W47)-1,))+(OFFSET($B$5,SUM($W$6:$W47)-2,)-OFFSET($B$5,SUM($W$6:$W47)-3,))+(OFFSET($B$5,SUM($W$6:$W47)-4,)-OFFSET($B$5,SUM($W$6:$W47)-5,))+(OFFSET($B$5,SUM($W$6:$W47)-6,)-OFFSET($B$5,SUM($W$6:$W47)-7,))</f>
        <v>#VALUE!</v>
      </c>
      <c r="AE47" s="439" t="e">
        <f ca="1">(OFFSET($B$5,SUM($W$6:$W47),)-OFFSET($B$5,SUM($W$6:$W47)-1,))+(OFFSET($B$5,SUM($W$6:$W47)-2,)-OFFSET($B$5,SUM($W$6:$W47)-3,))+(OFFSET($B$5,SUM($W$6:$W47)-4,)-OFFSET($B$5,SUM($W$6:$W47)-5,))</f>
        <v>#VALUE!</v>
      </c>
      <c r="AF47" s="439" t="e">
        <f ca="1">(OFFSET($B$5,SUM($W$6:$W47),)-OFFSET($B$5,SUM($W$6:$W47)-1,))+(OFFSET($B$5,SUM($W$6:$W47)-2,)-OFFSET($B$5,SUM($W$6:$W47)-3,))</f>
        <v>#VALUE!</v>
      </c>
      <c r="AG47" s="439" t="e">
        <f ca="1">(OFFSET($B$5,SUM($W$6:$W47),)-OFFSET($B$5,SUM($W$6:$W47)-1,))</f>
        <v>#VALUE!</v>
      </c>
      <c r="AH47" s="439" t="e">
        <f ca="1">(OFFSET($B$5,SUM($W$6:$W47)-1,)-OFFSET($B$5,SUM($W$6:$W47)-2,))+(OFFSET($B$5,SUM($W$6:$W47)-3,)-OFFSET($B$5,SUM($W$6:$W47)-4,))+(OFFSET($B$5,SUM($W$6:$W47)-5,)-OFFSET($B$5,SUM($W$6:$W47)-6,))+(OFFSET($B$5,SUM($W$6:$W47)-7,)-OFFSET($B$5,SUM($W$6:$W47)-8,))+(OFFSET($B$5,SUM($W$6:$W47)-9,)-OFFSET($B$5,SUM($W$6:$W47)-10,))</f>
        <v>#REF!</v>
      </c>
      <c r="AI47" s="439" t="e">
        <f ca="1">(OFFSET($B$5,SUM($W$6:$W47)-1,)-OFFSET($B$5,SUM($W$6:$W47)-2,))+(OFFSET($B$5,SUM($W$6:$W47)-3,)-OFFSET($B$5,SUM($W$6:$W47)-4,))+(OFFSET($B$5,SUM($W$6:$W47)-5,)-OFFSET($B$5,SUM($W$6:$W47)-6,))+(OFFSET($B$5,SUM($W$6:$W47)-7,)-OFFSET($B$5,SUM($W$6:$W47)-8,))</f>
        <v>#REF!</v>
      </c>
      <c r="AJ47" s="439" t="e">
        <f ca="1">(OFFSET($B$5,SUM($W$6:$W47)-1,)-OFFSET($B$5,SUM($W$6:$W47)-2,))+(OFFSET($B$5,SUM($W$6:$W47)-3,)-OFFSET($B$5,SUM($W$6:$W47)-4,))+(OFFSET($B$5,SUM($W$6:$W47)-5,)-OFFSET($B$5,SUM($W$6:$W47)-6,))</f>
        <v>#REF!</v>
      </c>
      <c r="AK47" s="439">
        <f ca="1">(OFFSET($B$5,SUM($W$6:$W47)-1,)-OFFSET($B$5,SUM($W$6:$W47)-2,))+(OFFSET($B$5,SUM($W$6:$W47)-3,)-OFFSET($B$5,SUM($W$6:$W47)-4,))</f>
        <v>0</v>
      </c>
      <c r="AL47" s="439">
        <f ca="1">(OFFSET($B$5,SUM($W$6:$W47)-1,)-OFFSET($B$5,SUM($W$6:$W47)-2,))</f>
        <v>0</v>
      </c>
      <c r="AM47" s="433">
        <v>1.7083333333333299</v>
      </c>
    </row>
    <row r="48" spans="2:39" x14ac:dyDescent="0.25">
      <c r="B48" s="338"/>
      <c r="C48" s="57"/>
      <c r="F48" s="371">
        <v>44419</v>
      </c>
      <c r="G48" s="370">
        <f t="shared" si="27"/>
        <v>44419</v>
      </c>
      <c r="H48" s="386">
        <f t="shared" si="35"/>
        <v>0</v>
      </c>
      <c r="I48" s="386">
        <f t="shared" ca="1" si="36"/>
        <v>-0.33333333333333331</v>
      </c>
      <c r="J48" s="386">
        <f ca="1">I48+J47</f>
        <v>-2.6666666666666665</v>
      </c>
      <c r="K48" s="163"/>
      <c r="L48" s="59"/>
      <c r="T48" s="438">
        <f t="shared" si="28"/>
        <v>0</v>
      </c>
      <c r="U48" s="439" t="b">
        <f t="shared" si="29"/>
        <v>0</v>
      </c>
      <c r="V48" s="440" t="b">
        <f t="shared" si="30"/>
        <v>0</v>
      </c>
      <c r="W48" s="437">
        <f t="shared" si="31"/>
        <v>0</v>
      </c>
      <c r="X48" s="439">
        <f t="shared" si="9"/>
        <v>0</v>
      </c>
      <c r="Y48" s="439">
        <f t="shared" si="10"/>
        <v>0</v>
      </c>
      <c r="Z48" s="439">
        <f t="shared" si="26"/>
        <v>0</v>
      </c>
      <c r="AA48" s="439" t="e">
        <f ca="1">(OFFSET($B$5,SUM($W$6:$W48),)-OFFSET($B$5,(SUM($W$6:$W48)-SUM($W48:$W48)+1),))</f>
        <v>#VALUE!</v>
      </c>
      <c r="AB48" s="439" t="e">
        <f ca="1">(OFFSET($B$5,SUM($W$6:$W48),)-OFFSET($B$5,SUM($W$6:$W48)-1,))+(OFFSET($B$5,SUM($W$6:$W48)-2,)-OFFSET($B$5,SUM($W$6:$W48)-3,))+(OFFSET($B$5,SUM($W$6:$W48)-4,)-OFFSET($B$5,SUM($W$6:$W48)-5,))+(OFFSET($B$5,SUM($W$6:$W48)-6,)-OFFSET($B$5,SUM($W$6:$W48)-7,))+(OFFSET($B$5,SUM($W$6:$W48)-8,)-OFFSET($B$5,SUM($W$6:$W48)-9,))+(OFFSET($B$5,SUM($W$6:$W48)-10,)-OFFSET($B$5,SUM($W$6:$W48)-11,))</f>
        <v>#VALUE!</v>
      </c>
      <c r="AC48" s="439" t="e">
        <f ca="1">(OFFSET($B$5,SUM($W$6:$W48),)-OFFSET($B$5,SUM($W$6:$W48)-1,))+(OFFSET($B$5,SUM($W$6:$W48)-2,)-OFFSET($B$5,SUM($W$6:$W48)-3,))+(OFFSET($B$5,SUM($W$6:$W48)-4,)-OFFSET($B$5,SUM($W$6:$W48)-5,))+(OFFSET($B$5,SUM($W$6:$W48)-6,)-OFFSET($B$5,SUM($W$6:$W48)-7,))+(OFFSET($B$5,SUM($W$6:$W48)-8,)-OFFSET($B$5,SUM($W$6:$W48)-9,))</f>
        <v>#VALUE!</v>
      </c>
      <c r="AD48" s="439" t="e">
        <f ca="1">(OFFSET($B$5,SUM($W$6:$W48),)-OFFSET($B$5,SUM($W$6:$W48)-1,))+(OFFSET($B$5,SUM($W$6:$W48)-2,)-OFFSET($B$5,SUM($W$6:$W48)-3,))+(OFFSET($B$5,SUM($W$6:$W48)-4,)-OFFSET($B$5,SUM($W$6:$W48)-5,))+(OFFSET($B$5,SUM($W$6:$W48)-6,)-OFFSET($B$5,SUM($W$6:$W48)-7,))</f>
        <v>#VALUE!</v>
      </c>
      <c r="AE48" s="439" t="e">
        <f ca="1">(OFFSET($B$5,SUM($W$6:$W48),)-OFFSET($B$5,SUM($W$6:$W48)-1,))+(OFFSET($B$5,SUM($W$6:$W48)-2,)-OFFSET($B$5,SUM($W$6:$W48)-3,))+(OFFSET($B$5,SUM($W$6:$W48)-4,)-OFFSET($B$5,SUM($W$6:$W48)-5,))</f>
        <v>#VALUE!</v>
      </c>
      <c r="AF48" s="439" t="e">
        <f ca="1">(OFFSET($B$5,SUM($W$6:$W48),)-OFFSET($B$5,SUM($W$6:$W48)-1,))+(OFFSET($B$5,SUM($W$6:$W48)-2,)-OFFSET($B$5,SUM($W$6:$W48)-3,))</f>
        <v>#VALUE!</v>
      </c>
      <c r="AG48" s="439" t="e">
        <f ca="1">(OFFSET($B$5,SUM($W$6:$W48),)-OFFSET($B$5,SUM($W$6:$W48)-1,))</f>
        <v>#VALUE!</v>
      </c>
      <c r="AH48" s="439" t="e">
        <f ca="1">(OFFSET($B$5,SUM($W$6:$W48)-1,)-OFFSET($B$5,SUM($W$6:$W48)-2,))+(OFFSET($B$5,SUM($W$6:$W48)-3,)-OFFSET($B$5,SUM($W$6:$W48)-4,))+(OFFSET($B$5,SUM($W$6:$W48)-5,)-OFFSET($B$5,SUM($W$6:$W48)-6,))+(OFFSET($B$5,SUM($W$6:$W48)-7,)-OFFSET($B$5,SUM($W$6:$W48)-8,))+(OFFSET($B$5,SUM($W$6:$W48)-9,)-OFFSET($B$5,SUM($W$6:$W48)-10,))</f>
        <v>#REF!</v>
      </c>
      <c r="AI48" s="439" t="e">
        <f ca="1">(OFFSET($B$5,SUM($W$6:$W48)-1,)-OFFSET($B$5,SUM($W$6:$W48)-2,))+(OFFSET($B$5,SUM($W$6:$W48)-3,)-OFFSET($B$5,SUM($W$6:$W48)-4,))+(OFFSET($B$5,SUM($W$6:$W48)-5,)-OFFSET($B$5,SUM($W$6:$W48)-6,))+(OFFSET($B$5,SUM($W$6:$W48)-7,)-OFFSET($B$5,SUM($W$6:$W48)-8,))</f>
        <v>#REF!</v>
      </c>
      <c r="AJ48" s="439" t="e">
        <f ca="1">(OFFSET($B$5,SUM($W$6:$W48)-1,)-OFFSET($B$5,SUM($W$6:$W48)-2,))+(OFFSET($B$5,SUM($W$6:$W48)-3,)-OFFSET($B$5,SUM($W$6:$W48)-4,))+(OFFSET($B$5,SUM($W$6:$W48)-5,)-OFFSET($B$5,SUM($W$6:$W48)-6,))</f>
        <v>#REF!</v>
      </c>
      <c r="AK48" s="439">
        <f ca="1">(OFFSET($B$5,SUM($W$6:$W48)-1,)-OFFSET($B$5,SUM($W$6:$W48)-2,))+(OFFSET($B$5,SUM($W$6:$W48)-3,)-OFFSET($B$5,SUM($W$6:$W48)-4,))</f>
        <v>0</v>
      </c>
      <c r="AL48" s="439">
        <f ca="1">(OFFSET($B$5,SUM($W$6:$W48)-1,)-OFFSET($B$5,SUM($W$6:$W48)-2,))</f>
        <v>0</v>
      </c>
      <c r="AM48" s="433">
        <v>1.75</v>
      </c>
    </row>
    <row r="49" spans="2:39" x14ac:dyDescent="0.25">
      <c r="B49" s="338"/>
      <c r="C49" s="57"/>
      <c r="F49" s="371">
        <v>44420</v>
      </c>
      <c r="G49" s="370">
        <f t="shared" si="27"/>
        <v>44420</v>
      </c>
      <c r="H49" s="386">
        <f t="shared" si="35"/>
        <v>0</v>
      </c>
      <c r="I49" s="386">
        <f t="shared" ca="1" si="36"/>
        <v>-0.33333333333333331</v>
      </c>
      <c r="J49" s="386">
        <f t="shared" ref="J49:J51" ca="1" si="37">I49+J48</f>
        <v>-3</v>
      </c>
      <c r="K49" s="164"/>
      <c r="L49" s="60"/>
      <c r="T49" s="438">
        <f t="shared" si="28"/>
        <v>0</v>
      </c>
      <c r="U49" s="439" t="b">
        <f t="shared" si="29"/>
        <v>0</v>
      </c>
      <c r="V49" s="440" t="b">
        <f t="shared" si="30"/>
        <v>0</v>
      </c>
      <c r="W49" s="437">
        <f t="shared" si="31"/>
        <v>0</v>
      </c>
      <c r="X49" s="439">
        <f t="shared" si="9"/>
        <v>0</v>
      </c>
      <c r="Y49" s="439">
        <f t="shared" si="10"/>
        <v>0</v>
      </c>
      <c r="Z49" s="439">
        <f t="shared" si="26"/>
        <v>0</v>
      </c>
      <c r="AA49" s="439" t="e">
        <f ca="1">(OFFSET($B$5,SUM($W$6:$W49),)-OFFSET($B$5,(SUM($W$6:$W49)-SUM($W49:$W49)+1),))</f>
        <v>#VALUE!</v>
      </c>
      <c r="AB49" s="439" t="e">
        <f ca="1">(OFFSET($B$5,SUM($W$6:$W49),)-OFFSET($B$5,SUM($W$6:$W49)-1,))+(OFFSET($B$5,SUM($W$6:$W49)-2,)-OFFSET($B$5,SUM($W$6:$W49)-3,))+(OFFSET($B$5,SUM($W$6:$W49)-4,)-OFFSET($B$5,SUM($W$6:$W49)-5,))+(OFFSET($B$5,SUM($W$6:$W49)-6,)-OFFSET($B$5,SUM($W$6:$W49)-7,))+(OFFSET($B$5,SUM($W$6:$W49)-8,)-OFFSET($B$5,SUM($W$6:$W49)-9,))+(OFFSET($B$5,SUM($W$6:$W49)-10,)-OFFSET($B$5,SUM($W$6:$W49)-11,))</f>
        <v>#VALUE!</v>
      </c>
      <c r="AC49" s="439" t="e">
        <f ca="1">(OFFSET($B$5,SUM($W$6:$W49),)-OFFSET($B$5,SUM($W$6:$W49)-1,))+(OFFSET($B$5,SUM($W$6:$W49)-2,)-OFFSET($B$5,SUM($W$6:$W49)-3,))+(OFFSET($B$5,SUM($W$6:$W49)-4,)-OFFSET($B$5,SUM($W$6:$W49)-5,))+(OFFSET($B$5,SUM($W$6:$W49)-6,)-OFFSET($B$5,SUM($W$6:$W49)-7,))+(OFFSET($B$5,SUM($W$6:$W49)-8,)-OFFSET($B$5,SUM($W$6:$W49)-9,))</f>
        <v>#VALUE!</v>
      </c>
      <c r="AD49" s="439" t="e">
        <f ca="1">(OFFSET($B$5,SUM($W$6:$W49),)-OFFSET($B$5,SUM($W$6:$W49)-1,))+(OFFSET($B$5,SUM($W$6:$W49)-2,)-OFFSET($B$5,SUM($W$6:$W49)-3,))+(OFFSET($B$5,SUM($W$6:$W49)-4,)-OFFSET($B$5,SUM($W$6:$W49)-5,))+(OFFSET($B$5,SUM($W$6:$W49)-6,)-OFFSET($B$5,SUM($W$6:$W49)-7,))</f>
        <v>#VALUE!</v>
      </c>
      <c r="AE49" s="439" t="e">
        <f ca="1">(OFFSET($B$5,SUM($W$6:$W49),)-OFFSET($B$5,SUM($W$6:$W49)-1,))+(OFFSET($B$5,SUM($W$6:$W49)-2,)-OFFSET($B$5,SUM($W$6:$W49)-3,))+(OFFSET($B$5,SUM($W$6:$W49)-4,)-OFFSET($B$5,SUM($W$6:$W49)-5,))</f>
        <v>#VALUE!</v>
      </c>
      <c r="AF49" s="439" t="e">
        <f ca="1">(OFFSET($B$5,SUM($W$6:$W49),)-OFFSET($B$5,SUM($W$6:$W49)-1,))+(OFFSET($B$5,SUM($W$6:$W49)-2,)-OFFSET($B$5,SUM($W$6:$W49)-3,))</f>
        <v>#VALUE!</v>
      </c>
      <c r="AG49" s="439" t="e">
        <f ca="1">(OFFSET($B$5,SUM($W$6:$W49),)-OFFSET($B$5,SUM($W$6:$W49)-1,))</f>
        <v>#VALUE!</v>
      </c>
      <c r="AH49" s="439" t="e">
        <f ca="1">(OFFSET($B$5,SUM($W$6:$W49)-1,)-OFFSET($B$5,SUM($W$6:$W49)-2,))+(OFFSET($B$5,SUM($W$6:$W49)-3,)-OFFSET($B$5,SUM($W$6:$W49)-4,))+(OFFSET($B$5,SUM($W$6:$W49)-5,)-OFFSET($B$5,SUM($W$6:$W49)-6,))+(OFFSET($B$5,SUM($W$6:$W49)-7,)-OFFSET($B$5,SUM($W$6:$W49)-8,))+(OFFSET($B$5,SUM($W$6:$W49)-9,)-OFFSET($B$5,SUM($W$6:$W49)-10,))</f>
        <v>#REF!</v>
      </c>
      <c r="AI49" s="439" t="e">
        <f ca="1">(OFFSET($B$5,SUM($W$6:$W49)-1,)-OFFSET($B$5,SUM($W$6:$W49)-2,))+(OFFSET($B$5,SUM($W$6:$W49)-3,)-OFFSET($B$5,SUM($W$6:$W49)-4,))+(OFFSET($B$5,SUM($W$6:$W49)-5,)-OFFSET($B$5,SUM($W$6:$W49)-6,))+(OFFSET($B$5,SUM($W$6:$W49)-7,)-OFFSET($B$5,SUM($W$6:$W49)-8,))</f>
        <v>#REF!</v>
      </c>
      <c r="AJ49" s="439" t="e">
        <f ca="1">(OFFSET($B$5,SUM($W$6:$W49)-1,)-OFFSET($B$5,SUM($W$6:$W49)-2,))+(OFFSET($B$5,SUM($W$6:$W49)-3,)-OFFSET($B$5,SUM($W$6:$W49)-4,))+(OFFSET($B$5,SUM($W$6:$W49)-5,)-OFFSET($B$5,SUM($W$6:$W49)-6,))</f>
        <v>#REF!</v>
      </c>
      <c r="AK49" s="439">
        <f ca="1">(OFFSET($B$5,SUM($W$6:$W49)-1,)-OFFSET($B$5,SUM($W$6:$W49)-2,))+(OFFSET($B$5,SUM($W$6:$W49)-3,)-OFFSET($B$5,SUM($W$6:$W49)-4,))</f>
        <v>0</v>
      </c>
      <c r="AL49" s="439">
        <f ca="1">(OFFSET($B$5,SUM($W$6:$W49)-1,)-OFFSET($B$5,SUM($W$6:$W49)-2,))</f>
        <v>0</v>
      </c>
      <c r="AM49" s="433">
        <v>1.7916666666666701</v>
      </c>
    </row>
    <row r="50" spans="2:39" x14ac:dyDescent="0.25">
      <c r="B50" s="338"/>
      <c r="C50" s="57"/>
      <c r="F50" s="371">
        <v>44421</v>
      </c>
      <c r="G50" s="370">
        <f t="shared" si="27"/>
        <v>44421</v>
      </c>
      <c r="H50" s="386">
        <f t="shared" si="35"/>
        <v>0</v>
      </c>
      <c r="I50" s="386">
        <f t="shared" ca="1" si="36"/>
        <v>-0.33333333333333331</v>
      </c>
      <c r="J50" s="386">
        <f t="shared" ca="1" si="37"/>
        <v>-3.3333333333333335</v>
      </c>
      <c r="K50" s="164"/>
      <c r="L50" s="60"/>
      <c r="T50" s="438">
        <f t="shared" si="28"/>
        <v>0</v>
      </c>
      <c r="U50" s="439" t="b">
        <f t="shared" si="29"/>
        <v>0</v>
      </c>
      <c r="V50" s="440" t="b">
        <f t="shared" si="30"/>
        <v>0</v>
      </c>
      <c r="W50" s="437">
        <f t="shared" si="31"/>
        <v>0</v>
      </c>
      <c r="X50" s="439">
        <f t="shared" si="9"/>
        <v>0</v>
      </c>
      <c r="Y50" s="439">
        <f t="shared" si="10"/>
        <v>0</v>
      </c>
      <c r="Z50" s="439">
        <f t="shared" si="26"/>
        <v>0</v>
      </c>
      <c r="AA50" s="439" t="e">
        <f ca="1">(OFFSET($B$5,SUM($W$6:$W50),)-OFFSET($B$5,(SUM($W$6:$W50)-SUM($W50:$W50)+1),))</f>
        <v>#VALUE!</v>
      </c>
      <c r="AB50" s="439" t="e">
        <f ca="1">(OFFSET($B$5,SUM($W$6:$W50),)-OFFSET($B$5,SUM($W$6:$W50)-1,))+(OFFSET($B$5,SUM($W$6:$W50)-2,)-OFFSET($B$5,SUM($W$6:$W50)-3,))+(OFFSET($B$5,SUM($W$6:$W50)-4,)-OFFSET($B$5,SUM($W$6:$W50)-5,))+(OFFSET($B$5,SUM($W$6:$W50)-6,)-OFFSET($B$5,SUM($W$6:$W50)-7,))+(OFFSET($B$5,SUM($W$6:$W50)-8,)-OFFSET($B$5,SUM($W$6:$W50)-9,))+(OFFSET($B$5,SUM($W$6:$W50)-10,)-OFFSET($B$5,SUM($W$6:$W50)-11,))</f>
        <v>#VALUE!</v>
      </c>
      <c r="AC50" s="439" t="e">
        <f ca="1">(OFFSET($B$5,SUM($W$6:$W50),)-OFFSET($B$5,SUM($W$6:$W50)-1,))+(OFFSET($B$5,SUM($W$6:$W50)-2,)-OFFSET($B$5,SUM($W$6:$W50)-3,))+(OFFSET($B$5,SUM($W$6:$W50)-4,)-OFFSET($B$5,SUM($W$6:$W50)-5,))+(OFFSET($B$5,SUM($W$6:$W50)-6,)-OFFSET($B$5,SUM($W$6:$W50)-7,))+(OFFSET($B$5,SUM($W$6:$W50)-8,)-OFFSET($B$5,SUM($W$6:$W50)-9,))</f>
        <v>#VALUE!</v>
      </c>
      <c r="AD50" s="439" t="e">
        <f ca="1">(OFFSET($B$5,SUM($W$6:$W50),)-OFFSET($B$5,SUM($W$6:$W50)-1,))+(OFFSET($B$5,SUM($W$6:$W50)-2,)-OFFSET($B$5,SUM($W$6:$W50)-3,))+(OFFSET($B$5,SUM($W$6:$W50)-4,)-OFFSET($B$5,SUM($W$6:$W50)-5,))+(OFFSET($B$5,SUM($W$6:$W50)-6,)-OFFSET($B$5,SUM($W$6:$W50)-7,))</f>
        <v>#VALUE!</v>
      </c>
      <c r="AE50" s="439" t="e">
        <f ca="1">(OFFSET($B$5,SUM($W$6:$W50),)-OFFSET($B$5,SUM($W$6:$W50)-1,))+(OFFSET($B$5,SUM($W$6:$W50)-2,)-OFFSET($B$5,SUM($W$6:$W50)-3,))+(OFFSET($B$5,SUM($W$6:$W50)-4,)-OFFSET($B$5,SUM($W$6:$W50)-5,))</f>
        <v>#VALUE!</v>
      </c>
      <c r="AF50" s="439" t="e">
        <f ca="1">(OFFSET($B$5,SUM($W$6:$W50),)-OFFSET($B$5,SUM($W$6:$W50)-1,))+(OFFSET($B$5,SUM($W$6:$W50)-2,)-OFFSET($B$5,SUM($W$6:$W50)-3,))</f>
        <v>#VALUE!</v>
      </c>
      <c r="AG50" s="439" t="e">
        <f ca="1">(OFFSET($B$5,SUM($W$6:$W50),)-OFFSET($B$5,SUM($W$6:$W50)-1,))</f>
        <v>#VALUE!</v>
      </c>
      <c r="AH50" s="439" t="e">
        <f ca="1">(OFFSET($B$5,SUM($W$6:$W50)-1,)-OFFSET($B$5,SUM($W$6:$W50)-2,))+(OFFSET($B$5,SUM($W$6:$W50)-3,)-OFFSET($B$5,SUM($W$6:$W50)-4,))+(OFFSET($B$5,SUM($W$6:$W50)-5,)-OFFSET($B$5,SUM($W$6:$W50)-6,))+(OFFSET($B$5,SUM($W$6:$W50)-7,)-OFFSET($B$5,SUM($W$6:$W50)-8,))+(OFFSET($B$5,SUM($W$6:$W50)-9,)-OFFSET($B$5,SUM($W$6:$W50)-10,))</f>
        <v>#REF!</v>
      </c>
      <c r="AI50" s="439" t="e">
        <f ca="1">(OFFSET($B$5,SUM($W$6:$W50)-1,)-OFFSET($B$5,SUM($W$6:$W50)-2,))+(OFFSET($B$5,SUM($W$6:$W50)-3,)-OFFSET($B$5,SUM($W$6:$W50)-4,))+(OFFSET($B$5,SUM($W$6:$W50)-5,)-OFFSET($B$5,SUM($W$6:$W50)-6,))+(OFFSET($B$5,SUM($W$6:$W50)-7,)-OFFSET($B$5,SUM($W$6:$W50)-8,))</f>
        <v>#REF!</v>
      </c>
      <c r="AJ50" s="439" t="e">
        <f ca="1">(OFFSET($B$5,SUM($W$6:$W50)-1,)-OFFSET($B$5,SUM($W$6:$W50)-2,))+(OFFSET($B$5,SUM($W$6:$W50)-3,)-OFFSET($B$5,SUM($W$6:$W50)-4,))+(OFFSET($B$5,SUM($W$6:$W50)-5,)-OFFSET($B$5,SUM($W$6:$W50)-6,))</f>
        <v>#REF!</v>
      </c>
      <c r="AK50" s="439">
        <f ca="1">(OFFSET($B$5,SUM($W$6:$W50)-1,)-OFFSET($B$5,SUM($W$6:$W50)-2,))+(OFFSET($B$5,SUM($W$6:$W50)-3,)-OFFSET($B$5,SUM($W$6:$W50)-4,))</f>
        <v>0</v>
      </c>
      <c r="AL50" s="439">
        <f ca="1">(OFFSET($B$5,SUM($W$6:$W50)-1,)-OFFSET($B$5,SUM($W$6:$W50)-2,))</f>
        <v>0</v>
      </c>
      <c r="AM50" s="433">
        <v>1.8333333333333299</v>
      </c>
    </row>
    <row r="51" spans="2:39" x14ac:dyDescent="0.25">
      <c r="B51" s="338"/>
      <c r="C51" s="57"/>
      <c r="F51" s="371">
        <v>44422</v>
      </c>
      <c r="G51" s="370">
        <f t="shared" si="27"/>
        <v>44422</v>
      </c>
      <c r="H51" s="386">
        <f t="shared" si="35"/>
        <v>0</v>
      </c>
      <c r="I51" s="386">
        <f t="shared" ca="1" si="36"/>
        <v>-0.33333333333333331</v>
      </c>
      <c r="J51" s="386">
        <f t="shared" ca="1" si="37"/>
        <v>-3.666666666666667</v>
      </c>
      <c r="K51" s="164"/>
      <c r="L51" s="61"/>
      <c r="T51" s="438">
        <f t="shared" si="28"/>
        <v>0</v>
      </c>
      <c r="U51" s="439" t="b">
        <f t="shared" si="29"/>
        <v>0</v>
      </c>
      <c r="V51" s="440" t="b">
        <f t="shared" si="30"/>
        <v>0</v>
      </c>
      <c r="W51" s="437">
        <f t="shared" si="31"/>
        <v>0</v>
      </c>
      <c r="X51" s="439">
        <f t="shared" si="9"/>
        <v>0</v>
      </c>
      <c r="Y51" s="439">
        <f t="shared" si="10"/>
        <v>0</v>
      </c>
      <c r="Z51" s="439">
        <f t="shared" si="26"/>
        <v>0</v>
      </c>
      <c r="AA51" s="439" t="e">
        <f ca="1">(OFFSET($B$5,SUM($W$6:$W51),)-OFFSET($B$5,(SUM($W$6:$W51)-SUM($W51:$W51)+1),))</f>
        <v>#VALUE!</v>
      </c>
      <c r="AB51" s="439" t="e">
        <f ca="1">(OFFSET($B$5,SUM($W$6:$W51),)-OFFSET($B$5,SUM($W$6:$W51)-1,))+(OFFSET($B$5,SUM($W$6:$W51)-2,)-OFFSET($B$5,SUM($W$6:$W51)-3,))+(OFFSET($B$5,SUM($W$6:$W51)-4,)-OFFSET($B$5,SUM($W$6:$W51)-5,))+(OFFSET($B$5,SUM($W$6:$W51)-6,)-OFFSET($B$5,SUM($W$6:$W51)-7,))+(OFFSET($B$5,SUM($W$6:$W51)-8,)-OFFSET($B$5,SUM($W$6:$W51)-9,))+(OFFSET($B$5,SUM($W$6:$W51)-10,)-OFFSET($B$5,SUM($W$6:$W51)-11,))</f>
        <v>#VALUE!</v>
      </c>
      <c r="AC51" s="439" t="e">
        <f ca="1">(OFFSET($B$5,SUM($W$6:$W51),)-OFFSET($B$5,SUM($W$6:$W51)-1,))+(OFFSET($B$5,SUM($W$6:$W51)-2,)-OFFSET($B$5,SUM($W$6:$W51)-3,))+(OFFSET($B$5,SUM($W$6:$W51)-4,)-OFFSET($B$5,SUM($W$6:$W51)-5,))+(OFFSET($B$5,SUM($W$6:$W51)-6,)-OFFSET($B$5,SUM($W$6:$W51)-7,))+(OFFSET($B$5,SUM($W$6:$W51)-8,)-OFFSET($B$5,SUM($W$6:$W51)-9,))</f>
        <v>#VALUE!</v>
      </c>
      <c r="AD51" s="439" t="e">
        <f ca="1">(OFFSET($B$5,SUM($W$6:$W51),)-OFFSET($B$5,SUM($W$6:$W51)-1,))+(OFFSET($B$5,SUM($W$6:$W51)-2,)-OFFSET($B$5,SUM($W$6:$W51)-3,))+(OFFSET($B$5,SUM($W$6:$W51)-4,)-OFFSET($B$5,SUM($W$6:$W51)-5,))+(OFFSET($B$5,SUM($W$6:$W51)-6,)-OFFSET($B$5,SUM($W$6:$W51)-7,))</f>
        <v>#VALUE!</v>
      </c>
      <c r="AE51" s="439" t="e">
        <f ca="1">(OFFSET($B$5,SUM($W$6:$W51),)-OFFSET($B$5,SUM($W$6:$W51)-1,))+(OFFSET($B$5,SUM($W$6:$W51)-2,)-OFFSET($B$5,SUM($W$6:$W51)-3,))+(OFFSET($B$5,SUM($W$6:$W51)-4,)-OFFSET($B$5,SUM($W$6:$W51)-5,))</f>
        <v>#VALUE!</v>
      </c>
      <c r="AF51" s="439" t="e">
        <f ca="1">(OFFSET($B$5,SUM($W$6:$W51),)-OFFSET($B$5,SUM($W$6:$W51)-1,))+(OFFSET($B$5,SUM($W$6:$W51)-2,)-OFFSET($B$5,SUM($W$6:$W51)-3,))</f>
        <v>#VALUE!</v>
      </c>
      <c r="AG51" s="439" t="e">
        <f ca="1">(OFFSET($B$5,SUM($W$6:$W51),)-OFFSET($B$5,SUM($W$6:$W51)-1,))</f>
        <v>#VALUE!</v>
      </c>
      <c r="AH51" s="439" t="e">
        <f ca="1">(OFFSET($B$5,SUM($W$6:$W51)-1,)-OFFSET($B$5,SUM($W$6:$W51)-2,))+(OFFSET($B$5,SUM($W$6:$W51)-3,)-OFFSET($B$5,SUM($W$6:$W51)-4,))+(OFFSET($B$5,SUM($W$6:$W51)-5,)-OFFSET($B$5,SUM($W$6:$W51)-6,))+(OFFSET($B$5,SUM($W$6:$W51)-7,)-OFFSET($B$5,SUM($W$6:$W51)-8,))+(OFFSET($B$5,SUM($W$6:$W51)-9,)-OFFSET($B$5,SUM($W$6:$W51)-10,))</f>
        <v>#REF!</v>
      </c>
      <c r="AI51" s="439" t="e">
        <f ca="1">(OFFSET($B$5,SUM($W$6:$W51)-1,)-OFFSET($B$5,SUM($W$6:$W51)-2,))+(OFFSET($B$5,SUM($W$6:$W51)-3,)-OFFSET($B$5,SUM($W$6:$W51)-4,))+(OFFSET($B$5,SUM($W$6:$W51)-5,)-OFFSET($B$5,SUM($W$6:$W51)-6,))+(OFFSET($B$5,SUM($W$6:$W51)-7,)-OFFSET($B$5,SUM($W$6:$W51)-8,))</f>
        <v>#REF!</v>
      </c>
      <c r="AJ51" s="439" t="e">
        <f ca="1">(OFFSET($B$5,SUM($W$6:$W51)-1,)-OFFSET($B$5,SUM($W$6:$W51)-2,))+(OFFSET($B$5,SUM($W$6:$W51)-3,)-OFFSET($B$5,SUM($W$6:$W51)-4,))+(OFFSET($B$5,SUM($W$6:$W51)-5,)-OFFSET($B$5,SUM($W$6:$W51)-6,))</f>
        <v>#REF!</v>
      </c>
      <c r="AK51" s="439">
        <f ca="1">(OFFSET($B$5,SUM($W$6:$W51)-1,)-OFFSET($B$5,SUM($W$6:$W51)-2,))+(OFFSET($B$5,SUM($W$6:$W51)-3,)-OFFSET($B$5,SUM($W$6:$W51)-4,))</f>
        <v>0</v>
      </c>
      <c r="AL51" s="439">
        <f ca="1">(OFFSET($B$5,SUM($W$6:$W51)-1,)-OFFSET($B$5,SUM($W$6:$W51)-2,))</f>
        <v>0</v>
      </c>
      <c r="AM51" s="433">
        <v>1.875</v>
      </c>
    </row>
    <row r="52" spans="2:39" x14ac:dyDescent="0.25">
      <c r="B52" s="338"/>
      <c r="C52" s="57"/>
      <c r="F52" s="371">
        <v>44423</v>
      </c>
      <c r="G52" s="404">
        <f t="shared" si="27"/>
        <v>44423</v>
      </c>
      <c r="H52" s="389"/>
      <c r="I52" s="389"/>
      <c r="J52" s="389"/>
      <c r="K52" s="164"/>
      <c r="L52" s="60"/>
      <c r="T52" s="438">
        <f t="shared" si="28"/>
        <v>0</v>
      </c>
      <c r="U52" s="439" t="b">
        <f t="shared" si="29"/>
        <v>0</v>
      </c>
      <c r="V52" s="440" t="b">
        <f t="shared" si="30"/>
        <v>0</v>
      </c>
      <c r="W52" s="437">
        <f t="shared" si="31"/>
        <v>0</v>
      </c>
      <c r="X52" s="439">
        <f t="shared" si="9"/>
        <v>0</v>
      </c>
      <c r="Y52" s="439">
        <f t="shared" si="10"/>
        <v>0</v>
      </c>
      <c r="Z52" s="439">
        <f t="shared" si="26"/>
        <v>0</v>
      </c>
      <c r="AA52" s="439" t="e">
        <f ca="1">(OFFSET($B$5,SUM($W$6:$W52),)-OFFSET($B$5,(SUM($W$6:$W52)-SUM($W52:$W52)+1),))</f>
        <v>#VALUE!</v>
      </c>
      <c r="AB52" s="439" t="e">
        <f ca="1">(OFFSET($B$5,SUM($W$6:$W52),)-OFFSET($B$5,SUM($W$6:$W52)-1,))+(OFFSET($B$5,SUM($W$6:$W52)-2,)-OFFSET($B$5,SUM($W$6:$W52)-3,))+(OFFSET($B$5,SUM($W$6:$W52)-4,)-OFFSET($B$5,SUM($W$6:$W52)-5,))+(OFFSET($B$5,SUM($W$6:$W52)-6,)-OFFSET($B$5,SUM($W$6:$W52)-7,))+(OFFSET($B$5,SUM($W$6:$W52)-8,)-OFFSET($B$5,SUM($W$6:$W52)-9,))+(OFFSET($B$5,SUM($W$6:$W52)-10,)-OFFSET($B$5,SUM($W$6:$W52)-11,))</f>
        <v>#VALUE!</v>
      </c>
      <c r="AC52" s="439" t="e">
        <f ca="1">(OFFSET($B$5,SUM($W$6:$W52),)-OFFSET($B$5,SUM($W$6:$W52)-1,))+(OFFSET($B$5,SUM($W$6:$W52)-2,)-OFFSET($B$5,SUM($W$6:$W52)-3,))+(OFFSET($B$5,SUM($W$6:$W52)-4,)-OFFSET($B$5,SUM($W$6:$W52)-5,))+(OFFSET($B$5,SUM($W$6:$W52)-6,)-OFFSET($B$5,SUM($W$6:$W52)-7,))+(OFFSET($B$5,SUM($W$6:$W52)-8,)-OFFSET($B$5,SUM($W$6:$W52)-9,))</f>
        <v>#VALUE!</v>
      </c>
      <c r="AD52" s="439" t="e">
        <f ca="1">(OFFSET($B$5,SUM($W$6:$W52),)-OFFSET($B$5,SUM($W$6:$W52)-1,))+(OFFSET($B$5,SUM($W$6:$W52)-2,)-OFFSET($B$5,SUM($W$6:$W52)-3,))+(OFFSET($B$5,SUM($W$6:$W52)-4,)-OFFSET($B$5,SUM($W$6:$W52)-5,))+(OFFSET($B$5,SUM($W$6:$W52)-6,)-OFFSET($B$5,SUM($W$6:$W52)-7,))</f>
        <v>#VALUE!</v>
      </c>
      <c r="AE52" s="439" t="e">
        <f ca="1">(OFFSET($B$5,SUM($W$6:$W52),)-OFFSET($B$5,SUM($W$6:$W52)-1,))+(OFFSET($B$5,SUM($W$6:$W52)-2,)-OFFSET($B$5,SUM($W$6:$W52)-3,))+(OFFSET($B$5,SUM($W$6:$W52)-4,)-OFFSET($B$5,SUM($W$6:$W52)-5,))</f>
        <v>#VALUE!</v>
      </c>
      <c r="AF52" s="439" t="e">
        <f ca="1">(OFFSET($B$5,SUM($W$6:$W52),)-OFFSET($B$5,SUM($W$6:$W52)-1,))+(OFFSET($B$5,SUM($W$6:$W52)-2,)-OFFSET($B$5,SUM($W$6:$W52)-3,))</f>
        <v>#VALUE!</v>
      </c>
      <c r="AG52" s="439" t="e">
        <f ca="1">(OFFSET($B$5,SUM($W$6:$W52),)-OFFSET($B$5,SUM($W$6:$W52)-1,))</f>
        <v>#VALUE!</v>
      </c>
      <c r="AH52" s="439" t="e">
        <f ca="1">(OFFSET($B$5,SUM($W$6:$W52)-1,)-OFFSET($B$5,SUM($W$6:$W52)-2,))+(OFFSET($B$5,SUM($W$6:$W52)-3,)-OFFSET($B$5,SUM($W$6:$W52)-4,))+(OFFSET($B$5,SUM($W$6:$W52)-5,)-OFFSET($B$5,SUM($W$6:$W52)-6,))+(OFFSET($B$5,SUM($W$6:$W52)-7,)-OFFSET($B$5,SUM($W$6:$W52)-8,))+(OFFSET($B$5,SUM($W$6:$W52)-9,)-OFFSET($B$5,SUM($W$6:$W52)-10,))</f>
        <v>#REF!</v>
      </c>
      <c r="AI52" s="439" t="e">
        <f ca="1">(OFFSET($B$5,SUM($W$6:$W52)-1,)-OFFSET($B$5,SUM($W$6:$W52)-2,))+(OFFSET($B$5,SUM($W$6:$W52)-3,)-OFFSET($B$5,SUM($W$6:$W52)-4,))+(OFFSET($B$5,SUM($W$6:$W52)-5,)-OFFSET($B$5,SUM($W$6:$W52)-6,))+(OFFSET($B$5,SUM($W$6:$W52)-7,)-OFFSET($B$5,SUM($W$6:$W52)-8,))</f>
        <v>#REF!</v>
      </c>
      <c r="AJ52" s="439" t="e">
        <f ca="1">(OFFSET($B$5,SUM($W$6:$W52)-1,)-OFFSET($B$5,SUM($W$6:$W52)-2,))+(OFFSET($B$5,SUM($W$6:$W52)-3,)-OFFSET($B$5,SUM($W$6:$W52)-4,))+(OFFSET($B$5,SUM($W$6:$W52)-5,)-OFFSET($B$5,SUM($W$6:$W52)-6,))</f>
        <v>#REF!</v>
      </c>
      <c r="AK52" s="439">
        <f ca="1">(OFFSET($B$5,SUM($W$6:$W52)-1,)-OFFSET($B$5,SUM($W$6:$W52)-2,))+(OFFSET($B$5,SUM($W$6:$W52)-3,)-OFFSET($B$5,SUM($W$6:$W52)-4,))</f>
        <v>0</v>
      </c>
      <c r="AL52" s="439">
        <f ca="1">(OFFSET($B$5,SUM($W$6:$W52)-1,)-OFFSET($B$5,SUM($W$6:$W52)-2,))</f>
        <v>0</v>
      </c>
      <c r="AM52" s="433">
        <v>1.9166666666666701</v>
      </c>
    </row>
    <row r="53" spans="2:39" x14ac:dyDescent="0.25">
      <c r="B53" s="338"/>
      <c r="C53" s="57"/>
      <c r="F53" s="371">
        <v>44424</v>
      </c>
      <c r="G53" s="404">
        <f t="shared" si="27"/>
        <v>44424</v>
      </c>
      <c r="H53" s="389"/>
      <c r="I53" s="389"/>
      <c r="J53" s="389"/>
      <c r="K53" s="164"/>
      <c r="L53" s="60"/>
      <c r="T53" s="438">
        <f t="shared" si="28"/>
        <v>0</v>
      </c>
      <c r="U53" s="439" t="b">
        <f t="shared" si="29"/>
        <v>0</v>
      </c>
      <c r="V53" s="440" t="b">
        <f t="shared" si="30"/>
        <v>0</v>
      </c>
      <c r="W53" s="437">
        <f t="shared" si="31"/>
        <v>0</v>
      </c>
      <c r="X53" s="439">
        <f t="shared" si="9"/>
        <v>0</v>
      </c>
      <c r="Y53" s="439">
        <f t="shared" si="10"/>
        <v>0</v>
      </c>
      <c r="Z53" s="439">
        <f t="shared" si="26"/>
        <v>0</v>
      </c>
      <c r="AA53" s="439" t="e">
        <f ca="1">(OFFSET($B$5,SUM($W$6:$W53),)-OFFSET($B$5,(SUM($W$6:$W53)-SUM($W53:$W53)+1),))</f>
        <v>#VALUE!</v>
      </c>
      <c r="AB53" s="439" t="e">
        <f ca="1">(OFFSET($B$5,SUM($W$6:$W53),)-OFFSET($B$5,SUM($W$6:$W53)-1,))+(OFFSET($B$5,SUM($W$6:$W53)-2,)-OFFSET($B$5,SUM($W$6:$W53)-3,))+(OFFSET($B$5,SUM($W$6:$W53)-4,)-OFFSET($B$5,SUM($W$6:$W53)-5,))+(OFFSET($B$5,SUM($W$6:$W53)-6,)-OFFSET($B$5,SUM($W$6:$W53)-7,))+(OFFSET($B$5,SUM($W$6:$W53)-8,)-OFFSET($B$5,SUM($W$6:$W53)-9,))+(OFFSET($B$5,SUM($W$6:$W53)-10,)-OFFSET($B$5,SUM($W$6:$W53)-11,))</f>
        <v>#VALUE!</v>
      </c>
      <c r="AC53" s="439" t="e">
        <f ca="1">(OFFSET($B$5,SUM($W$6:$W53),)-OFFSET($B$5,SUM($W$6:$W53)-1,))+(OFFSET($B$5,SUM($W$6:$W53)-2,)-OFFSET($B$5,SUM($W$6:$W53)-3,))+(OFFSET($B$5,SUM($W$6:$W53)-4,)-OFFSET($B$5,SUM($W$6:$W53)-5,))+(OFFSET($B$5,SUM($W$6:$W53)-6,)-OFFSET($B$5,SUM($W$6:$W53)-7,))+(OFFSET($B$5,SUM($W$6:$W53)-8,)-OFFSET($B$5,SUM($W$6:$W53)-9,))</f>
        <v>#VALUE!</v>
      </c>
      <c r="AD53" s="439" t="e">
        <f ca="1">(OFFSET($B$5,SUM($W$6:$W53),)-OFFSET($B$5,SUM($W$6:$W53)-1,))+(OFFSET($B$5,SUM($W$6:$W53)-2,)-OFFSET($B$5,SUM($W$6:$W53)-3,))+(OFFSET($B$5,SUM($W$6:$W53)-4,)-OFFSET($B$5,SUM($W$6:$W53)-5,))+(OFFSET($B$5,SUM($W$6:$W53)-6,)-OFFSET($B$5,SUM($W$6:$W53)-7,))</f>
        <v>#VALUE!</v>
      </c>
      <c r="AE53" s="439" t="e">
        <f ca="1">(OFFSET($B$5,SUM($W$6:$W53),)-OFFSET($B$5,SUM($W$6:$W53)-1,))+(OFFSET($B$5,SUM($W$6:$W53)-2,)-OFFSET($B$5,SUM($W$6:$W53)-3,))+(OFFSET($B$5,SUM($W$6:$W53)-4,)-OFFSET($B$5,SUM($W$6:$W53)-5,))</f>
        <v>#VALUE!</v>
      </c>
      <c r="AF53" s="439" t="e">
        <f ca="1">(OFFSET($B$5,SUM($W$6:$W53),)-OFFSET($B$5,SUM($W$6:$W53)-1,))+(OFFSET($B$5,SUM($W$6:$W53)-2,)-OFFSET($B$5,SUM($W$6:$W53)-3,))</f>
        <v>#VALUE!</v>
      </c>
      <c r="AG53" s="439" t="e">
        <f ca="1">(OFFSET($B$5,SUM($W$6:$W53),)-OFFSET($B$5,SUM($W$6:$W53)-1,))</f>
        <v>#VALUE!</v>
      </c>
      <c r="AH53" s="439" t="e">
        <f ca="1">(OFFSET($B$5,SUM($W$6:$W53)-1,)-OFFSET($B$5,SUM($W$6:$W53)-2,))+(OFFSET($B$5,SUM($W$6:$W53)-3,)-OFFSET($B$5,SUM($W$6:$W53)-4,))+(OFFSET($B$5,SUM($W$6:$W53)-5,)-OFFSET($B$5,SUM($W$6:$W53)-6,))+(OFFSET($B$5,SUM($W$6:$W53)-7,)-OFFSET($B$5,SUM($W$6:$W53)-8,))+(OFFSET($B$5,SUM($W$6:$W53)-9,)-OFFSET($B$5,SUM($W$6:$W53)-10,))</f>
        <v>#REF!</v>
      </c>
      <c r="AI53" s="439" t="e">
        <f ca="1">(OFFSET($B$5,SUM($W$6:$W53)-1,)-OFFSET($B$5,SUM($W$6:$W53)-2,))+(OFFSET($B$5,SUM($W$6:$W53)-3,)-OFFSET($B$5,SUM($W$6:$W53)-4,))+(OFFSET($B$5,SUM($W$6:$W53)-5,)-OFFSET($B$5,SUM($W$6:$W53)-6,))+(OFFSET($B$5,SUM($W$6:$W53)-7,)-OFFSET($B$5,SUM($W$6:$W53)-8,))</f>
        <v>#REF!</v>
      </c>
      <c r="AJ53" s="439" t="e">
        <f ca="1">(OFFSET($B$5,SUM($W$6:$W53)-1,)-OFFSET($B$5,SUM($W$6:$W53)-2,))+(OFFSET($B$5,SUM($W$6:$W53)-3,)-OFFSET($B$5,SUM($W$6:$W53)-4,))+(OFFSET($B$5,SUM($W$6:$W53)-5,)-OFFSET($B$5,SUM($W$6:$W53)-6,))</f>
        <v>#REF!</v>
      </c>
      <c r="AK53" s="439">
        <f ca="1">(OFFSET($B$5,SUM($W$6:$W53)-1,)-OFFSET($B$5,SUM($W$6:$W53)-2,))+(OFFSET($B$5,SUM($W$6:$W53)-3,)-OFFSET($B$5,SUM($W$6:$W53)-4,))</f>
        <v>0</v>
      </c>
      <c r="AL53" s="439">
        <f ca="1">(OFFSET($B$5,SUM($W$6:$W53)-1,)-OFFSET($B$5,SUM($W$6:$W53)-2,))</f>
        <v>0</v>
      </c>
      <c r="AM53" s="433">
        <v>1.9583333333333299</v>
      </c>
    </row>
    <row r="54" spans="2:39" x14ac:dyDescent="0.25">
      <c r="B54" s="338"/>
      <c r="C54" s="57"/>
      <c r="F54" s="371">
        <v>44425</v>
      </c>
      <c r="G54" s="370">
        <f t="shared" si="27"/>
        <v>44425</v>
      </c>
      <c r="H54" s="386">
        <f t="shared" ref="H54:H58" si="38">X54</f>
        <v>0</v>
      </c>
      <c r="I54" s="386">
        <f t="shared" ref="I54:I58" ca="1" si="39">IFERROR(H54+T54+OFFSET($L$38,MATCH(F54,$K$39:$K$67,0),0)-$W$2,H54-$W$2)</f>
        <v>-0.33333333333333331</v>
      </c>
      <c r="J54" s="386">
        <f ca="1">I54+J51</f>
        <v>-4</v>
      </c>
      <c r="K54" s="164"/>
      <c r="L54" s="60"/>
      <c r="T54" s="438">
        <f t="shared" si="28"/>
        <v>0</v>
      </c>
      <c r="U54" s="439" t="b">
        <f t="shared" si="29"/>
        <v>0</v>
      </c>
      <c r="V54" s="440" t="b">
        <f t="shared" si="30"/>
        <v>0</v>
      </c>
      <c r="W54" s="437">
        <f t="shared" si="31"/>
        <v>0</v>
      </c>
      <c r="X54" s="439">
        <f t="shared" si="9"/>
        <v>0</v>
      </c>
      <c r="Y54" s="439">
        <f t="shared" si="10"/>
        <v>0</v>
      </c>
      <c r="Z54" s="439">
        <f t="shared" si="26"/>
        <v>0</v>
      </c>
      <c r="AA54" s="439" t="e">
        <f ca="1">(OFFSET($B$5,SUM($W$6:$W54),)-OFFSET($B$5,(SUM($W$6:$W54)-SUM($W54:$W54)+1),))</f>
        <v>#VALUE!</v>
      </c>
      <c r="AB54" s="439" t="e">
        <f ca="1">(OFFSET($B$5,SUM($W$6:$W54),)-OFFSET($B$5,SUM($W$6:$W54)-1,))+(OFFSET($B$5,SUM($W$6:$W54)-2,)-OFFSET($B$5,SUM($W$6:$W54)-3,))+(OFFSET($B$5,SUM($W$6:$W54)-4,)-OFFSET($B$5,SUM($W$6:$W54)-5,))+(OFFSET($B$5,SUM($W$6:$W54)-6,)-OFFSET($B$5,SUM($W$6:$W54)-7,))+(OFFSET($B$5,SUM($W$6:$W54)-8,)-OFFSET($B$5,SUM($W$6:$W54)-9,))+(OFFSET($B$5,SUM($W$6:$W54)-10,)-OFFSET($B$5,SUM($W$6:$W54)-11,))</f>
        <v>#VALUE!</v>
      </c>
      <c r="AC54" s="439" t="e">
        <f ca="1">(OFFSET($B$5,SUM($W$6:$W54),)-OFFSET($B$5,SUM($W$6:$W54)-1,))+(OFFSET($B$5,SUM($W$6:$W54)-2,)-OFFSET($B$5,SUM($W$6:$W54)-3,))+(OFFSET($B$5,SUM($W$6:$W54)-4,)-OFFSET($B$5,SUM($W$6:$W54)-5,))+(OFFSET($B$5,SUM($W$6:$W54)-6,)-OFFSET($B$5,SUM($W$6:$W54)-7,))+(OFFSET($B$5,SUM($W$6:$W54)-8,)-OFFSET($B$5,SUM($W$6:$W54)-9,))</f>
        <v>#VALUE!</v>
      </c>
      <c r="AD54" s="439" t="e">
        <f ca="1">(OFFSET($B$5,SUM($W$6:$W54),)-OFFSET($B$5,SUM($W$6:$W54)-1,))+(OFFSET($B$5,SUM($W$6:$W54)-2,)-OFFSET($B$5,SUM($W$6:$W54)-3,))+(OFFSET($B$5,SUM($W$6:$W54)-4,)-OFFSET($B$5,SUM($W$6:$W54)-5,))+(OFFSET($B$5,SUM($W$6:$W54)-6,)-OFFSET($B$5,SUM($W$6:$W54)-7,))</f>
        <v>#VALUE!</v>
      </c>
      <c r="AE54" s="439" t="e">
        <f ca="1">(OFFSET($B$5,SUM($W$6:$W54),)-OFFSET($B$5,SUM($W$6:$W54)-1,))+(OFFSET($B$5,SUM($W$6:$W54)-2,)-OFFSET($B$5,SUM($W$6:$W54)-3,))+(OFFSET($B$5,SUM($W$6:$W54)-4,)-OFFSET($B$5,SUM($W$6:$W54)-5,))</f>
        <v>#VALUE!</v>
      </c>
      <c r="AF54" s="439" t="e">
        <f ca="1">(OFFSET($B$5,SUM($W$6:$W54),)-OFFSET($B$5,SUM($W$6:$W54)-1,))+(OFFSET($B$5,SUM($W$6:$W54)-2,)-OFFSET($B$5,SUM($W$6:$W54)-3,))</f>
        <v>#VALUE!</v>
      </c>
      <c r="AG54" s="439" t="e">
        <f ca="1">(OFFSET($B$5,SUM($W$6:$W54),)-OFFSET($B$5,SUM($W$6:$W54)-1,))</f>
        <v>#VALUE!</v>
      </c>
      <c r="AH54" s="439" t="e">
        <f ca="1">(OFFSET($B$5,SUM($W$6:$W54)-1,)-OFFSET($B$5,SUM($W$6:$W54)-2,))+(OFFSET($B$5,SUM($W$6:$W54)-3,)-OFFSET($B$5,SUM($W$6:$W54)-4,))+(OFFSET($B$5,SUM($W$6:$W54)-5,)-OFFSET($B$5,SUM($W$6:$W54)-6,))+(OFFSET($B$5,SUM($W$6:$W54)-7,)-OFFSET($B$5,SUM($W$6:$W54)-8,))+(OFFSET($B$5,SUM($W$6:$W54)-9,)-OFFSET($B$5,SUM($W$6:$W54)-10,))</f>
        <v>#REF!</v>
      </c>
      <c r="AI54" s="439" t="e">
        <f ca="1">(OFFSET($B$5,SUM($W$6:$W54)-1,)-OFFSET($B$5,SUM($W$6:$W54)-2,))+(OFFSET($B$5,SUM($W$6:$W54)-3,)-OFFSET($B$5,SUM($W$6:$W54)-4,))+(OFFSET($B$5,SUM($W$6:$W54)-5,)-OFFSET($B$5,SUM($W$6:$W54)-6,))+(OFFSET($B$5,SUM($W$6:$W54)-7,)-OFFSET($B$5,SUM($W$6:$W54)-8,))</f>
        <v>#REF!</v>
      </c>
      <c r="AJ54" s="439" t="e">
        <f ca="1">(OFFSET($B$5,SUM($W$6:$W54)-1,)-OFFSET($B$5,SUM($W$6:$W54)-2,))+(OFFSET($B$5,SUM($W$6:$W54)-3,)-OFFSET($B$5,SUM($W$6:$W54)-4,))+(OFFSET($B$5,SUM($W$6:$W54)-5,)-OFFSET($B$5,SUM($W$6:$W54)-6,))</f>
        <v>#REF!</v>
      </c>
      <c r="AK54" s="439">
        <f ca="1">(OFFSET($B$5,SUM($W$6:$W54)-1,)-OFFSET($B$5,SUM($W$6:$W54)-2,))+(OFFSET($B$5,SUM($W$6:$W54)-3,)-OFFSET($B$5,SUM($W$6:$W54)-4,))</f>
        <v>0</v>
      </c>
      <c r="AL54" s="439">
        <f ca="1">(OFFSET($B$5,SUM($W$6:$W54)-1,)-OFFSET($B$5,SUM($W$6:$W54)-2,))</f>
        <v>0</v>
      </c>
      <c r="AM54" s="433">
        <v>2</v>
      </c>
    </row>
    <row r="55" spans="2:39" x14ac:dyDescent="0.25">
      <c r="B55" s="338"/>
      <c r="C55" s="57"/>
      <c r="F55" s="371">
        <v>44426</v>
      </c>
      <c r="G55" s="370">
        <f t="shared" si="27"/>
        <v>44426</v>
      </c>
      <c r="H55" s="386">
        <f t="shared" si="38"/>
        <v>0</v>
      </c>
      <c r="I55" s="386">
        <f t="shared" ca="1" si="39"/>
        <v>-0.33333333333333331</v>
      </c>
      <c r="J55" s="386">
        <f ca="1">I55+J54</f>
        <v>-4.333333333333333</v>
      </c>
      <c r="K55" s="164"/>
      <c r="L55" s="60"/>
      <c r="T55" s="438">
        <f t="shared" si="28"/>
        <v>0</v>
      </c>
      <c r="U55" s="439" t="b">
        <f t="shared" si="29"/>
        <v>0</v>
      </c>
      <c r="V55" s="440" t="b">
        <f t="shared" si="30"/>
        <v>0</v>
      </c>
      <c r="W55" s="437">
        <f t="shared" si="31"/>
        <v>0</v>
      </c>
      <c r="X55" s="439">
        <f t="shared" si="9"/>
        <v>0</v>
      </c>
      <c r="Y55" s="439">
        <f t="shared" si="10"/>
        <v>0</v>
      </c>
      <c r="Z55" s="439">
        <f t="shared" si="26"/>
        <v>0</v>
      </c>
      <c r="AA55" s="439" t="e">
        <f ca="1">(OFFSET($B$5,SUM($W$6:$W55),)-OFFSET($B$5,(SUM($W$6:$W55)-SUM($W55:$W55)+1),))</f>
        <v>#VALUE!</v>
      </c>
      <c r="AB55" s="439" t="e">
        <f ca="1">(OFFSET($B$5,SUM($W$6:$W55),)-OFFSET($B$5,SUM($W$6:$W55)-1,))+(OFFSET($B$5,SUM($W$6:$W55)-2,)-OFFSET($B$5,SUM($W$6:$W55)-3,))+(OFFSET($B$5,SUM($W$6:$W55)-4,)-OFFSET($B$5,SUM($W$6:$W55)-5,))+(OFFSET($B$5,SUM($W$6:$W55)-6,)-OFFSET($B$5,SUM($W$6:$W55)-7,))+(OFFSET($B$5,SUM($W$6:$W55)-8,)-OFFSET($B$5,SUM($W$6:$W55)-9,))+(OFFSET($B$5,SUM($W$6:$W55)-10,)-OFFSET($B$5,SUM($W$6:$W55)-11,))</f>
        <v>#VALUE!</v>
      </c>
      <c r="AC55" s="439" t="e">
        <f ca="1">(OFFSET($B$5,SUM($W$6:$W55),)-OFFSET($B$5,SUM($W$6:$W55)-1,))+(OFFSET($B$5,SUM($W$6:$W55)-2,)-OFFSET($B$5,SUM($W$6:$W55)-3,))+(OFFSET($B$5,SUM($W$6:$W55)-4,)-OFFSET($B$5,SUM($W$6:$W55)-5,))+(OFFSET($B$5,SUM($W$6:$W55)-6,)-OFFSET($B$5,SUM($W$6:$W55)-7,))+(OFFSET($B$5,SUM($W$6:$W55)-8,)-OFFSET($B$5,SUM($W$6:$W55)-9,))</f>
        <v>#VALUE!</v>
      </c>
      <c r="AD55" s="439" t="e">
        <f ca="1">(OFFSET($B$5,SUM($W$6:$W55),)-OFFSET($B$5,SUM($W$6:$W55)-1,))+(OFFSET($B$5,SUM($W$6:$W55)-2,)-OFFSET($B$5,SUM($W$6:$W55)-3,))+(OFFSET($B$5,SUM($W$6:$W55)-4,)-OFFSET($B$5,SUM($W$6:$W55)-5,))+(OFFSET($B$5,SUM($W$6:$W55)-6,)-OFFSET($B$5,SUM($W$6:$W55)-7,))</f>
        <v>#VALUE!</v>
      </c>
      <c r="AE55" s="439" t="e">
        <f ca="1">(OFFSET($B$5,SUM($W$6:$W55),)-OFFSET($B$5,SUM($W$6:$W55)-1,))+(OFFSET($B$5,SUM($W$6:$W55)-2,)-OFFSET($B$5,SUM($W$6:$W55)-3,))+(OFFSET($B$5,SUM($W$6:$W55)-4,)-OFFSET($B$5,SUM($W$6:$W55)-5,))</f>
        <v>#VALUE!</v>
      </c>
      <c r="AF55" s="439" t="e">
        <f ca="1">(OFFSET($B$5,SUM($W$6:$W55),)-OFFSET($B$5,SUM($W$6:$W55)-1,))+(OFFSET($B$5,SUM($W$6:$W55)-2,)-OFFSET($B$5,SUM($W$6:$W55)-3,))</f>
        <v>#VALUE!</v>
      </c>
      <c r="AG55" s="439" t="e">
        <f ca="1">(OFFSET($B$5,SUM($W$6:$W55),)-OFFSET($B$5,SUM($W$6:$W55)-1,))</f>
        <v>#VALUE!</v>
      </c>
      <c r="AH55" s="439" t="e">
        <f ca="1">(OFFSET($B$5,SUM($W$6:$W55)-1,)-OFFSET($B$5,SUM($W$6:$W55)-2,))+(OFFSET($B$5,SUM($W$6:$W55)-3,)-OFFSET($B$5,SUM($W$6:$W55)-4,))+(OFFSET($B$5,SUM($W$6:$W55)-5,)-OFFSET($B$5,SUM($W$6:$W55)-6,))+(OFFSET($B$5,SUM($W$6:$W55)-7,)-OFFSET($B$5,SUM($W$6:$W55)-8,))+(OFFSET($B$5,SUM($W$6:$W55)-9,)-OFFSET($B$5,SUM($W$6:$W55)-10,))</f>
        <v>#REF!</v>
      </c>
      <c r="AI55" s="439" t="e">
        <f ca="1">(OFFSET($B$5,SUM($W$6:$W55)-1,)-OFFSET($B$5,SUM($W$6:$W55)-2,))+(OFFSET($B$5,SUM($W$6:$W55)-3,)-OFFSET($B$5,SUM($W$6:$W55)-4,))+(OFFSET($B$5,SUM($W$6:$W55)-5,)-OFFSET($B$5,SUM($W$6:$W55)-6,))+(OFFSET($B$5,SUM($W$6:$W55)-7,)-OFFSET($B$5,SUM($W$6:$W55)-8,))</f>
        <v>#REF!</v>
      </c>
      <c r="AJ55" s="439" t="e">
        <f ca="1">(OFFSET($B$5,SUM($W$6:$W55)-1,)-OFFSET($B$5,SUM($W$6:$W55)-2,))+(OFFSET($B$5,SUM($W$6:$W55)-3,)-OFFSET($B$5,SUM($W$6:$W55)-4,))+(OFFSET($B$5,SUM($W$6:$W55)-5,)-OFFSET($B$5,SUM($W$6:$W55)-6,))</f>
        <v>#REF!</v>
      </c>
      <c r="AK55" s="439">
        <f ca="1">(OFFSET($B$5,SUM($W$6:$W55)-1,)-OFFSET($B$5,SUM($W$6:$W55)-2,))+(OFFSET($B$5,SUM($W$6:$W55)-3,)-OFFSET($B$5,SUM($W$6:$W55)-4,))</f>
        <v>0</v>
      </c>
      <c r="AL55" s="439">
        <f ca="1">(OFFSET($B$5,SUM($W$6:$W55)-1,)-OFFSET($B$5,SUM($W$6:$W55)-2,))</f>
        <v>0</v>
      </c>
      <c r="AM55" s="433">
        <v>2.0416666666666701</v>
      </c>
    </row>
    <row r="56" spans="2:39" x14ac:dyDescent="0.25">
      <c r="B56" s="338"/>
      <c r="C56" s="57"/>
      <c r="F56" s="371">
        <v>44427</v>
      </c>
      <c r="G56" s="370">
        <f t="shared" si="27"/>
        <v>44427</v>
      </c>
      <c r="H56" s="386">
        <f t="shared" si="38"/>
        <v>0</v>
      </c>
      <c r="I56" s="386">
        <f t="shared" ca="1" si="39"/>
        <v>-0.33333333333333331</v>
      </c>
      <c r="J56" s="386">
        <f t="shared" ref="J56:J58" ca="1" si="40">I56+J55</f>
        <v>-4.6666666666666661</v>
      </c>
      <c r="K56" s="164"/>
      <c r="L56" s="60"/>
      <c r="T56" s="438">
        <f t="shared" si="28"/>
        <v>0</v>
      </c>
      <c r="U56" s="439" t="b">
        <f t="shared" si="29"/>
        <v>0</v>
      </c>
      <c r="V56" s="440" t="b">
        <f t="shared" si="30"/>
        <v>0</v>
      </c>
      <c r="W56" s="437">
        <f t="shared" si="31"/>
        <v>0</v>
      </c>
      <c r="X56" s="439">
        <f t="shared" si="9"/>
        <v>0</v>
      </c>
      <c r="Y56" s="439">
        <f t="shared" si="10"/>
        <v>0</v>
      </c>
      <c r="Z56" s="439">
        <f t="shared" si="26"/>
        <v>0</v>
      </c>
      <c r="AA56" s="439" t="e">
        <f ca="1">(OFFSET($B$5,SUM($W$6:$W56),)-OFFSET($B$5,(SUM($W$6:$W56)-SUM($W56:$W56)+1),))</f>
        <v>#VALUE!</v>
      </c>
      <c r="AB56" s="439" t="e">
        <f ca="1">(OFFSET($B$5,SUM($W$6:$W56),)-OFFSET($B$5,SUM($W$6:$W56)-1,))+(OFFSET($B$5,SUM($W$6:$W56)-2,)-OFFSET($B$5,SUM($W$6:$W56)-3,))+(OFFSET($B$5,SUM($W$6:$W56)-4,)-OFFSET($B$5,SUM($W$6:$W56)-5,))+(OFFSET($B$5,SUM($W$6:$W56)-6,)-OFFSET($B$5,SUM($W$6:$W56)-7,))+(OFFSET($B$5,SUM($W$6:$W56)-8,)-OFFSET($B$5,SUM($W$6:$W56)-9,))+(OFFSET($B$5,SUM($W$6:$W56)-10,)-OFFSET($B$5,SUM($W$6:$W56)-11,))</f>
        <v>#VALUE!</v>
      </c>
      <c r="AC56" s="439" t="e">
        <f ca="1">(OFFSET($B$5,SUM($W$6:$W56),)-OFFSET($B$5,SUM($W$6:$W56)-1,))+(OFFSET($B$5,SUM($W$6:$W56)-2,)-OFFSET($B$5,SUM($W$6:$W56)-3,))+(OFFSET($B$5,SUM($W$6:$W56)-4,)-OFFSET($B$5,SUM($W$6:$W56)-5,))+(OFFSET($B$5,SUM($W$6:$W56)-6,)-OFFSET($B$5,SUM($W$6:$W56)-7,))+(OFFSET($B$5,SUM($W$6:$W56)-8,)-OFFSET($B$5,SUM($W$6:$W56)-9,))</f>
        <v>#VALUE!</v>
      </c>
      <c r="AD56" s="439" t="e">
        <f ca="1">(OFFSET($B$5,SUM($W$6:$W56),)-OFFSET($B$5,SUM($W$6:$W56)-1,))+(OFFSET($B$5,SUM($W$6:$W56)-2,)-OFFSET($B$5,SUM($W$6:$W56)-3,))+(OFFSET($B$5,SUM($W$6:$W56)-4,)-OFFSET($B$5,SUM($W$6:$W56)-5,))+(OFFSET($B$5,SUM($W$6:$W56)-6,)-OFFSET($B$5,SUM($W$6:$W56)-7,))</f>
        <v>#VALUE!</v>
      </c>
      <c r="AE56" s="439" t="e">
        <f ca="1">(OFFSET($B$5,SUM($W$6:$W56),)-OFFSET($B$5,SUM($W$6:$W56)-1,))+(OFFSET($B$5,SUM($W$6:$W56)-2,)-OFFSET($B$5,SUM($W$6:$W56)-3,))+(OFFSET($B$5,SUM($W$6:$W56)-4,)-OFFSET($B$5,SUM($W$6:$W56)-5,))</f>
        <v>#VALUE!</v>
      </c>
      <c r="AF56" s="439" t="e">
        <f ca="1">(OFFSET($B$5,SUM($W$6:$W56),)-OFFSET($B$5,SUM($W$6:$W56)-1,))+(OFFSET($B$5,SUM($W$6:$W56)-2,)-OFFSET($B$5,SUM($W$6:$W56)-3,))</f>
        <v>#VALUE!</v>
      </c>
      <c r="AG56" s="439" t="e">
        <f ca="1">(OFFSET($B$5,SUM($W$6:$W56),)-OFFSET($B$5,SUM($W$6:$W56)-1,))</f>
        <v>#VALUE!</v>
      </c>
      <c r="AH56" s="439" t="e">
        <f ca="1">(OFFSET($B$5,SUM($W$6:$W56)-1,)-OFFSET($B$5,SUM($W$6:$W56)-2,))+(OFFSET($B$5,SUM($W$6:$W56)-3,)-OFFSET($B$5,SUM($W$6:$W56)-4,))+(OFFSET($B$5,SUM($W$6:$W56)-5,)-OFFSET($B$5,SUM($W$6:$W56)-6,))+(OFFSET($B$5,SUM($W$6:$W56)-7,)-OFFSET($B$5,SUM($W$6:$W56)-8,))+(OFFSET($B$5,SUM($W$6:$W56)-9,)-OFFSET($B$5,SUM($W$6:$W56)-10,))</f>
        <v>#REF!</v>
      </c>
      <c r="AI56" s="439" t="e">
        <f ca="1">(OFFSET($B$5,SUM($W$6:$W56)-1,)-OFFSET($B$5,SUM($W$6:$W56)-2,))+(OFFSET($B$5,SUM($W$6:$W56)-3,)-OFFSET($B$5,SUM($W$6:$W56)-4,))+(OFFSET($B$5,SUM($W$6:$W56)-5,)-OFFSET($B$5,SUM($W$6:$W56)-6,))+(OFFSET($B$5,SUM($W$6:$W56)-7,)-OFFSET($B$5,SUM($W$6:$W56)-8,))</f>
        <v>#REF!</v>
      </c>
      <c r="AJ56" s="439" t="e">
        <f ca="1">(OFFSET($B$5,SUM($W$6:$W56)-1,)-OFFSET($B$5,SUM($W$6:$W56)-2,))+(OFFSET($B$5,SUM($W$6:$W56)-3,)-OFFSET($B$5,SUM($W$6:$W56)-4,))+(OFFSET($B$5,SUM($W$6:$W56)-5,)-OFFSET($B$5,SUM($W$6:$W56)-6,))</f>
        <v>#REF!</v>
      </c>
      <c r="AK56" s="439">
        <f ca="1">(OFFSET($B$5,SUM($W$6:$W56)-1,)-OFFSET($B$5,SUM($W$6:$W56)-2,))+(OFFSET($B$5,SUM($W$6:$W56)-3,)-OFFSET($B$5,SUM($W$6:$W56)-4,))</f>
        <v>0</v>
      </c>
      <c r="AL56" s="439">
        <f ca="1">(OFFSET($B$5,SUM($W$6:$W56)-1,)-OFFSET($B$5,SUM($W$6:$W56)-2,))</f>
        <v>0</v>
      </c>
      <c r="AM56" s="433">
        <v>2.0833333333333299</v>
      </c>
    </row>
    <row r="57" spans="2:39" x14ac:dyDescent="0.25">
      <c r="B57" s="338"/>
      <c r="C57" s="57"/>
      <c r="F57" s="371">
        <v>44428</v>
      </c>
      <c r="G57" s="370">
        <f t="shared" si="27"/>
        <v>44428</v>
      </c>
      <c r="H57" s="386">
        <f t="shared" si="38"/>
        <v>0</v>
      </c>
      <c r="I57" s="386">
        <f t="shared" ca="1" si="39"/>
        <v>-0.33333333333333331</v>
      </c>
      <c r="J57" s="386">
        <f t="shared" ca="1" si="40"/>
        <v>-4.9999999999999991</v>
      </c>
      <c r="K57" s="164"/>
      <c r="L57" s="60"/>
      <c r="T57" s="438">
        <f t="shared" si="28"/>
        <v>0</v>
      </c>
      <c r="U57" s="439" t="b">
        <f t="shared" si="29"/>
        <v>0</v>
      </c>
      <c r="V57" s="440" t="b">
        <f t="shared" si="30"/>
        <v>0</v>
      </c>
      <c r="W57" s="437">
        <f t="shared" si="31"/>
        <v>0</v>
      </c>
      <c r="X57" s="439">
        <f t="shared" si="9"/>
        <v>0</v>
      </c>
      <c r="Y57" s="439">
        <f t="shared" si="10"/>
        <v>0</v>
      </c>
      <c r="Z57" s="439">
        <f t="shared" si="26"/>
        <v>0</v>
      </c>
      <c r="AA57" s="439" t="e">
        <f ca="1">(OFFSET($B$5,SUM($W$6:$W57),)-OFFSET($B$5,(SUM($W$6:$W57)-SUM($W57:$W57)+1),))</f>
        <v>#VALUE!</v>
      </c>
      <c r="AB57" s="439" t="e">
        <f ca="1">(OFFSET($B$5,SUM($W$6:$W57),)-OFFSET($B$5,SUM($W$6:$W57)-1,))+(OFFSET($B$5,SUM($W$6:$W57)-2,)-OFFSET($B$5,SUM($W$6:$W57)-3,))+(OFFSET($B$5,SUM($W$6:$W57)-4,)-OFFSET($B$5,SUM($W$6:$W57)-5,))+(OFFSET($B$5,SUM($W$6:$W57)-6,)-OFFSET($B$5,SUM($W$6:$W57)-7,))+(OFFSET($B$5,SUM($W$6:$W57)-8,)-OFFSET($B$5,SUM($W$6:$W57)-9,))+(OFFSET($B$5,SUM($W$6:$W57)-10,)-OFFSET($B$5,SUM($W$6:$W57)-11,))</f>
        <v>#VALUE!</v>
      </c>
      <c r="AC57" s="439" t="e">
        <f ca="1">(OFFSET($B$5,SUM($W$6:$W57),)-OFFSET($B$5,SUM($W$6:$W57)-1,))+(OFFSET($B$5,SUM($W$6:$W57)-2,)-OFFSET($B$5,SUM($W$6:$W57)-3,))+(OFFSET($B$5,SUM($W$6:$W57)-4,)-OFFSET($B$5,SUM($W$6:$W57)-5,))+(OFFSET($B$5,SUM($W$6:$W57)-6,)-OFFSET($B$5,SUM($W$6:$W57)-7,))+(OFFSET($B$5,SUM($W$6:$W57)-8,)-OFFSET($B$5,SUM($W$6:$W57)-9,))</f>
        <v>#VALUE!</v>
      </c>
      <c r="AD57" s="439" t="e">
        <f ca="1">(OFFSET($B$5,SUM($W$6:$W57),)-OFFSET($B$5,SUM($W$6:$W57)-1,))+(OFFSET($B$5,SUM($W$6:$W57)-2,)-OFFSET($B$5,SUM($W$6:$W57)-3,))+(OFFSET($B$5,SUM($W$6:$W57)-4,)-OFFSET($B$5,SUM($W$6:$W57)-5,))+(OFFSET($B$5,SUM($W$6:$W57)-6,)-OFFSET($B$5,SUM($W$6:$W57)-7,))</f>
        <v>#VALUE!</v>
      </c>
      <c r="AE57" s="439" t="e">
        <f ca="1">(OFFSET($B$5,SUM($W$6:$W57),)-OFFSET($B$5,SUM($W$6:$W57)-1,))+(OFFSET($B$5,SUM($W$6:$W57)-2,)-OFFSET($B$5,SUM($W$6:$W57)-3,))+(OFFSET($B$5,SUM($W$6:$W57)-4,)-OFFSET($B$5,SUM($W$6:$W57)-5,))</f>
        <v>#VALUE!</v>
      </c>
      <c r="AF57" s="439" t="e">
        <f ca="1">(OFFSET($B$5,SUM($W$6:$W57),)-OFFSET($B$5,SUM($W$6:$W57)-1,))+(OFFSET($B$5,SUM($W$6:$W57)-2,)-OFFSET($B$5,SUM($W$6:$W57)-3,))</f>
        <v>#VALUE!</v>
      </c>
      <c r="AG57" s="439" t="e">
        <f ca="1">(OFFSET($B$5,SUM($W$6:$W57),)-OFFSET($B$5,SUM($W$6:$W57)-1,))</f>
        <v>#VALUE!</v>
      </c>
      <c r="AH57" s="439" t="e">
        <f ca="1">(OFFSET($B$5,SUM($W$6:$W57)-1,)-OFFSET($B$5,SUM($W$6:$W57)-2,))+(OFFSET($B$5,SUM($W$6:$W57)-3,)-OFFSET($B$5,SUM($W$6:$W57)-4,))+(OFFSET($B$5,SUM($W$6:$W57)-5,)-OFFSET($B$5,SUM($W$6:$W57)-6,))+(OFFSET($B$5,SUM($W$6:$W57)-7,)-OFFSET($B$5,SUM($W$6:$W57)-8,))+(OFFSET($B$5,SUM($W$6:$W57)-9,)-OFFSET($B$5,SUM($W$6:$W57)-10,))</f>
        <v>#REF!</v>
      </c>
      <c r="AI57" s="439" t="e">
        <f ca="1">(OFFSET($B$5,SUM($W$6:$W57)-1,)-OFFSET($B$5,SUM($W$6:$W57)-2,))+(OFFSET($B$5,SUM($W$6:$W57)-3,)-OFFSET($B$5,SUM($W$6:$W57)-4,))+(OFFSET($B$5,SUM($W$6:$W57)-5,)-OFFSET($B$5,SUM($W$6:$W57)-6,))+(OFFSET($B$5,SUM($W$6:$W57)-7,)-OFFSET($B$5,SUM($W$6:$W57)-8,))</f>
        <v>#REF!</v>
      </c>
      <c r="AJ57" s="439" t="e">
        <f ca="1">(OFFSET($B$5,SUM($W$6:$W57)-1,)-OFFSET($B$5,SUM($W$6:$W57)-2,))+(OFFSET($B$5,SUM($W$6:$W57)-3,)-OFFSET($B$5,SUM($W$6:$W57)-4,))+(OFFSET($B$5,SUM($W$6:$W57)-5,)-OFFSET($B$5,SUM($W$6:$W57)-6,))</f>
        <v>#REF!</v>
      </c>
      <c r="AK57" s="439">
        <f ca="1">(OFFSET($B$5,SUM($W$6:$W57)-1,)-OFFSET($B$5,SUM($W$6:$W57)-2,))+(OFFSET($B$5,SUM($W$6:$W57)-3,)-OFFSET($B$5,SUM($W$6:$W57)-4,))</f>
        <v>0</v>
      </c>
      <c r="AL57" s="439">
        <f ca="1">(OFFSET($B$5,SUM($W$6:$W57)-1,)-OFFSET($B$5,SUM($W$6:$W57)-2,))</f>
        <v>0</v>
      </c>
      <c r="AM57" s="433">
        <v>2.125</v>
      </c>
    </row>
    <row r="58" spans="2:39" x14ac:dyDescent="0.25">
      <c r="B58" s="338"/>
      <c r="C58" s="57"/>
      <c r="F58" s="371">
        <v>44429</v>
      </c>
      <c r="G58" s="370">
        <f t="shared" si="27"/>
        <v>44429</v>
      </c>
      <c r="H58" s="386">
        <f t="shared" si="38"/>
        <v>0</v>
      </c>
      <c r="I58" s="386">
        <f t="shared" ca="1" si="39"/>
        <v>-0.33333333333333331</v>
      </c>
      <c r="J58" s="386">
        <f t="shared" ca="1" si="40"/>
        <v>-5.3333333333333321</v>
      </c>
      <c r="K58" s="164"/>
      <c r="L58" s="60"/>
      <c r="T58" s="438">
        <f t="shared" si="28"/>
        <v>0</v>
      </c>
      <c r="U58" s="439" t="b">
        <f t="shared" si="29"/>
        <v>0</v>
      </c>
      <c r="V58" s="440" t="b">
        <f t="shared" si="30"/>
        <v>0</v>
      </c>
      <c r="W58" s="437">
        <f t="shared" si="31"/>
        <v>0</v>
      </c>
      <c r="X58" s="439">
        <f t="shared" si="9"/>
        <v>0</v>
      </c>
      <c r="Y58" s="439">
        <f t="shared" si="10"/>
        <v>0</v>
      </c>
      <c r="Z58" s="439">
        <f t="shared" si="26"/>
        <v>0</v>
      </c>
      <c r="AA58" s="439" t="e">
        <f ca="1">(OFFSET($B$5,SUM($W$6:$W58),)-OFFSET($B$5,(SUM($W$6:$W58)-SUM($W58:$W58)+1),))</f>
        <v>#VALUE!</v>
      </c>
      <c r="AB58" s="439" t="e">
        <f ca="1">(OFFSET($B$5,SUM($W$6:$W58),)-OFFSET($B$5,SUM($W$6:$W58)-1,))+(OFFSET($B$5,SUM($W$6:$W58)-2,)-OFFSET($B$5,SUM($W$6:$W58)-3,))+(OFFSET($B$5,SUM($W$6:$W58)-4,)-OFFSET($B$5,SUM($W$6:$W58)-5,))+(OFFSET($B$5,SUM($W$6:$W58)-6,)-OFFSET($B$5,SUM($W$6:$W58)-7,))+(OFFSET($B$5,SUM($W$6:$W58)-8,)-OFFSET($B$5,SUM($W$6:$W58)-9,))+(OFFSET($B$5,SUM($W$6:$W58)-10,)-OFFSET($B$5,SUM($W$6:$W58)-11,))</f>
        <v>#VALUE!</v>
      </c>
      <c r="AC58" s="439" t="e">
        <f ca="1">(OFFSET($B$5,SUM($W$6:$W58),)-OFFSET($B$5,SUM($W$6:$W58)-1,))+(OFFSET($B$5,SUM($W$6:$W58)-2,)-OFFSET($B$5,SUM($W$6:$W58)-3,))+(OFFSET($B$5,SUM($W$6:$W58)-4,)-OFFSET($B$5,SUM($W$6:$W58)-5,))+(OFFSET($B$5,SUM($W$6:$W58)-6,)-OFFSET($B$5,SUM($W$6:$W58)-7,))+(OFFSET($B$5,SUM($W$6:$W58)-8,)-OFFSET($B$5,SUM($W$6:$W58)-9,))</f>
        <v>#VALUE!</v>
      </c>
      <c r="AD58" s="439" t="e">
        <f ca="1">(OFFSET($B$5,SUM($W$6:$W58),)-OFFSET($B$5,SUM($W$6:$W58)-1,))+(OFFSET($B$5,SUM($W$6:$W58)-2,)-OFFSET($B$5,SUM($W$6:$W58)-3,))+(OFFSET($B$5,SUM($W$6:$W58)-4,)-OFFSET($B$5,SUM($W$6:$W58)-5,))+(OFFSET($B$5,SUM($W$6:$W58)-6,)-OFFSET($B$5,SUM($W$6:$W58)-7,))</f>
        <v>#VALUE!</v>
      </c>
      <c r="AE58" s="439" t="e">
        <f ca="1">(OFFSET($B$5,SUM($W$6:$W58),)-OFFSET($B$5,SUM($W$6:$W58)-1,))+(OFFSET($B$5,SUM($W$6:$W58)-2,)-OFFSET($B$5,SUM($W$6:$W58)-3,))+(OFFSET($B$5,SUM($W$6:$W58)-4,)-OFFSET($B$5,SUM($W$6:$W58)-5,))</f>
        <v>#VALUE!</v>
      </c>
      <c r="AF58" s="439" t="e">
        <f ca="1">(OFFSET($B$5,SUM($W$6:$W58),)-OFFSET($B$5,SUM($W$6:$W58)-1,))+(OFFSET($B$5,SUM($W$6:$W58)-2,)-OFFSET($B$5,SUM($W$6:$W58)-3,))</f>
        <v>#VALUE!</v>
      </c>
      <c r="AG58" s="439" t="e">
        <f ca="1">(OFFSET($B$5,SUM($W$6:$W58),)-OFFSET($B$5,SUM($W$6:$W58)-1,))</f>
        <v>#VALUE!</v>
      </c>
      <c r="AH58" s="439" t="e">
        <f ca="1">(OFFSET($B$5,SUM($W$6:$W58)-1,)-OFFSET($B$5,SUM($W$6:$W58)-2,))+(OFFSET($B$5,SUM($W$6:$W58)-3,)-OFFSET($B$5,SUM($W$6:$W58)-4,))+(OFFSET($B$5,SUM($W$6:$W58)-5,)-OFFSET($B$5,SUM($W$6:$W58)-6,))+(OFFSET($B$5,SUM($W$6:$W58)-7,)-OFFSET($B$5,SUM($W$6:$W58)-8,))+(OFFSET($B$5,SUM($W$6:$W58)-9,)-OFFSET($B$5,SUM($W$6:$W58)-10,))</f>
        <v>#REF!</v>
      </c>
      <c r="AI58" s="439" t="e">
        <f ca="1">(OFFSET($B$5,SUM($W$6:$W58)-1,)-OFFSET($B$5,SUM($W$6:$W58)-2,))+(OFFSET($B$5,SUM($W$6:$W58)-3,)-OFFSET($B$5,SUM($W$6:$W58)-4,))+(OFFSET($B$5,SUM($W$6:$W58)-5,)-OFFSET($B$5,SUM($W$6:$W58)-6,))+(OFFSET($B$5,SUM($W$6:$W58)-7,)-OFFSET($B$5,SUM($W$6:$W58)-8,))</f>
        <v>#REF!</v>
      </c>
      <c r="AJ58" s="439" t="e">
        <f ca="1">(OFFSET($B$5,SUM($W$6:$W58)-1,)-OFFSET($B$5,SUM($W$6:$W58)-2,))+(OFFSET($B$5,SUM($W$6:$W58)-3,)-OFFSET($B$5,SUM($W$6:$W58)-4,))+(OFFSET($B$5,SUM($W$6:$W58)-5,)-OFFSET($B$5,SUM($W$6:$W58)-6,))</f>
        <v>#REF!</v>
      </c>
      <c r="AK58" s="439">
        <f ca="1">(OFFSET($B$5,SUM($W$6:$W58)-1,)-OFFSET($B$5,SUM($W$6:$W58)-2,))+(OFFSET($B$5,SUM($W$6:$W58)-3,)-OFFSET($B$5,SUM($W$6:$W58)-4,))</f>
        <v>0</v>
      </c>
      <c r="AL58" s="439">
        <f ca="1">(OFFSET($B$5,SUM($W$6:$W58)-1,)-OFFSET($B$5,SUM($W$6:$W58)-2,))</f>
        <v>0</v>
      </c>
      <c r="AM58" s="433">
        <v>2.1666666666666701</v>
      </c>
    </row>
    <row r="59" spans="2:39" x14ac:dyDescent="0.25">
      <c r="B59" s="338"/>
      <c r="C59" s="57"/>
      <c r="F59" s="371">
        <v>44430</v>
      </c>
      <c r="G59" s="404">
        <f t="shared" si="27"/>
        <v>44430</v>
      </c>
      <c r="H59" s="389"/>
      <c r="I59" s="389"/>
      <c r="J59" s="389"/>
      <c r="K59" s="164"/>
      <c r="L59" s="60"/>
      <c r="T59" s="438">
        <f t="shared" si="28"/>
        <v>0</v>
      </c>
      <c r="U59" s="439" t="b">
        <f t="shared" si="29"/>
        <v>0</v>
      </c>
      <c r="V59" s="440" t="b">
        <f t="shared" si="30"/>
        <v>0</v>
      </c>
      <c r="W59" s="437">
        <f t="shared" si="31"/>
        <v>0</v>
      </c>
      <c r="X59" s="439">
        <f t="shared" si="9"/>
        <v>0</v>
      </c>
      <c r="Y59" s="439">
        <f t="shared" si="10"/>
        <v>0</v>
      </c>
      <c r="Z59" s="439">
        <f t="shared" si="26"/>
        <v>0</v>
      </c>
      <c r="AA59" s="439" t="e">
        <f ca="1">(OFFSET($B$5,SUM($W$6:$W59),)-OFFSET($B$5,(SUM($W$6:$W59)-SUM($W59:$W59)+1),))</f>
        <v>#VALUE!</v>
      </c>
      <c r="AB59" s="439" t="e">
        <f ca="1">(OFFSET($B$5,SUM($W$6:$W59),)-OFFSET($B$5,SUM($W$6:$W59)-1,))+(OFFSET($B$5,SUM($W$6:$W59)-2,)-OFFSET($B$5,SUM($W$6:$W59)-3,))+(OFFSET($B$5,SUM($W$6:$W59)-4,)-OFFSET($B$5,SUM($W$6:$W59)-5,))+(OFFSET($B$5,SUM($W$6:$W59)-6,)-OFFSET($B$5,SUM($W$6:$W59)-7,))+(OFFSET($B$5,SUM($W$6:$W59)-8,)-OFFSET($B$5,SUM($W$6:$W59)-9,))+(OFFSET($B$5,SUM($W$6:$W59)-10,)-OFFSET($B$5,SUM($W$6:$W59)-11,))</f>
        <v>#VALUE!</v>
      </c>
      <c r="AC59" s="439" t="e">
        <f ca="1">(OFFSET($B$5,SUM($W$6:$W59),)-OFFSET($B$5,SUM($W$6:$W59)-1,))+(OFFSET($B$5,SUM($W$6:$W59)-2,)-OFFSET($B$5,SUM($W$6:$W59)-3,))+(OFFSET($B$5,SUM($W$6:$W59)-4,)-OFFSET($B$5,SUM($W$6:$W59)-5,))+(OFFSET($B$5,SUM($W$6:$W59)-6,)-OFFSET($B$5,SUM($W$6:$W59)-7,))+(OFFSET($B$5,SUM($W$6:$W59)-8,)-OFFSET($B$5,SUM($W$6:$W59)-9,))</f>
        <v>#VALUE!</v>
      </c>
      <c r="AD59" s="439" t="e">
        <f ca="1">(OFFSET($B$5,SUM($W$6:$W59),)-OFFSET($B$5,SUM($W$6:$W59)-1,))+(OFFSET($B$5,SUM($W$6:$W59)-2,)-OFFSET($B$5,SUM($W$6:$W59)-3,))+(OFFSET($B$5,SUM($W$6:$W59)-4,)-OFFSET($B$5,SUM($W$6:$W59)-5,))+(OFFSET($B$5,SUM($W$6:$W59)-6,)-OFFSET($B$5,SUM($W$6:$W59)-7,))</f>
        <v>#VALUE!</v>
      </c>
      <c r="AE59" s="439" t="e">
        <f ca="1">(OFFSET($B$5,SUM($W$6:$W59),)-OFFSET($B$5,SUM($W$6:$W59)-1,))+(OFFSET($B$5,SUM($W$6:$W59)-2,)-OFFSET($B$5,SUM($W$6:$W59)-3,))+(OFFSET($B$5,SUM($W$6:$W59)-4,)-OFFSET($B$5,SUM($W$6:$W59)-5,))</f>
        <v>#VALUE!</v>
      </c>
      <c r="AF59" s="439" t="e">
        <f ca="1">(OFFSET($B$5,SUM($W$6:$W59),)-OFFSET($B$5,SUM($W$6:$W59)-1,))+(OFFSET($B$5,SUM($W$6:$W59)-2,)-OFFSET($B$5,SUM($W$6:$W59)-3,))</f>
        <v>#VALUE!</v>
      </c>
      <c r="AG59" s="439" t="e">
        <f ca="1">(OFFSET($B$5,SUM($W$6:$W59),)-OFFSET($B$5,SUM($W$6:$W59)-1,))</f>
        <v>#VALUE!</v>
      </c>
      <c r="AH59" s="439" t="e">
        <f ca="1">(OFFSET($B$5,SUM($W$6:$W59)-1,)-OFFSET($B$5,SUM($W$6:$W59)-2,))+(OFFSET($B$5,SUM($W$6:$W59)-3,)-OFFSET($B$5,SUM($W$6:$W59)-4,))+(OFFSET($B$5,SUM($W$6:$W59)-5,)-OFFSET($B$5,SUM($W$6:$W59)-6,))+(OFFSET($B$5,SUM($W$6:$W59)-7,)-OFFSET($B$5,SUM($W$6:$W59)-8,))+(OFFSET($B$5,SUM($W$6:$W59)-9,)-OFFSET($B$5,SUM($W$6:$W59)-10,))</f>
        <v>#REF!</v>
      </c>
      <c r="AI59" s="439" t="e">
        <f ca="1">(OFFSET($B$5,SUM($W$6:$W59)-1,)-OFFSET($B$5,SUM($W$6:$W59)-2,))+(OFFSET($B$5,SUM($W$6:$W59)-3,)-OFFSET($B$5,SUM($W$6:$W59)-4,))+(OFFSET($B$5,SUM($W$6:$W59)-5,)-OFFSET($B$5,SUM($W$6:$W59)-6,))+(OFFSET($B$5,SUM($W$6:$W59)-7,)-OFFSET($B$5,SUM($W$6:$W59)-8,))</f>
        <v>#REF!</v>
      </c>
      <c r="AJ59" s="439" t="e">
        <f ca="1">(OFFSET($B$5,SUM($W$6:$W59)-1,)-OFFSET($B$5,SUM($W$6:$W59)-2,))+(OFFSET($B$5,SUM($W$6:$W59)-3,)-OFFSET($B$5,SUM($W$6:$W59)-4,))+(OFFSET($B$5,SUM($W$6:$W59)-5,)-OFFSET($B$5,SUM($W$6:$W59)-6,))</f>
        <v>#REF!</v>
      </c>
      <c r="AK59" s="439">
        <f ca="1">(OFFSET($B$5,SUM($W$6:$W59)-1,)-OFFSET($B$5,SUM($W$6:$W59)-2,))+(OFFSET($B$5,SUM($W$6:$W59)-3,)-OFFSET($B$5,SUM($W$6:$W59)-4,))</f>
        <v>0</v>
      </c>
      <c r="AL59" s="439">
        <f ca="1">(OFFSET($B$5,SUM($W$6:$W59)-1,)-OFFSET($B$5,SUM($W$6:$W59)-2,))</f>
        <v>0</v>
      </c>
      <c r="AM59" s="433">
        <v>2.2083333333333299</v>
      </c>
    </row>
    <row r="60" spans="2:39" x14ac:dyDescent="0.25">
      <c r="B60" s="338"/>
      <c r="C60" s="57"/>
      <c r="F60" s="371">
        <v>44431</v>
      </c>
      <c r="G60" s="404">
        <f t="shared" si="27"/>
        <v>44431</v>
      </c>
      <c r="H60" s="389"/>
      <c r="I60" s="389"/>
      <c r="J60" s="389"/>
      <c r="K60" s="164"/>
      <c r="L60" s="60"/>
      <c r="T60" s="438">
        <f t="shared" si="28"/>
        <v>0</v>
      </c>
      <c r="U60" s="439" t="b">
        <f t="shared" si="29"/>
        <v>0</v>
      </c>
      <c r="V60" s="440" t="b">
        <f t="shared" si="30"/>
        <v>0</v>
      </c>
      <c r="W60" s="437">
        <f t="shared" si="31"/>
        <v>0</v>
      </c>
      <c r="X60" s="439">
        <f t="shared" si="9"/>
        <v>0</v>
      </c>
      <c r="Y60" s="439">
        <f t="shared" si="10"/>
        <v>0</v>
      </c>
      <c r="Z60" s="439">
        <f t="shared" si="26"/>
        <v>0</v>
      </c>
      <c r="AA60" s="439" t="e">
        <f ca="1">(OFFSET($B$5,SUM($W$6:$W60),)-OFFSET($B$5,(SUM($W$6:$W60)-SUM($W60:$W60)+1),))</f>
        <v>#VALUE!</v>
      </c>
      <c r="AB60" s="439" t="e">
        <f ca="1">(OFFSET($B$5,SUM($W$6:$W60),)-OFFSET($B$5,SUM($W$6:$W60)-1,))+(OFFSET($B$5,SUM($W$6:$W60)-2,)-OFFSET($B$5,SUM($W$6:$W60)-3,))+(OFFSET($B$5,SUM($W$6:$W60)-4,)-OFFSET($B$5,SUM($W$6:$W60)-5,))+(OFFSET($B$5,SUM($W$6:$W60)-6,)-OFFSET($B$5,SUM($W$6:$W60)-7,))+(OFFSET($B$5,SUM($W$6:$W60)-8,)-OFFSET($B$5,SUM($W$6:$W60)-9,))+(OFFSET($B$5,SUM($W$6:$W60)-10,)-OFFSET($B$5,SUM($W$6:$W60)-11,))</f>
        <v>#VALUE!</v>
      </c>
      <c r="AC60" s="439" t="e">
        <f ca="1">(OFFSET($B$5,SUM($W$6:$W60),)-OFFSET($B$5,SUM($W$6:$W60)-1,))+(OFFSET($B$5,SUM($W$6:$W60)-2,)-OFFSET($B$5,SUM($W$6:$W60)-3,))+(OFFSET($B$5,SUM($W$6:$W60)-4,)-OFFSET($B$5,SUM($W$6:$W60)-5,))+(OFFSET($B$5,SUM($W$6:$W60)-6,)-OFFSET($B$5,SUM($W$6:$W60)-7,))+(OFFSET($B$5,SUM($W$6:$W60)-8,)-OFFSET($B$5,SUM($W$6:$W60)-9,))</f>
        <v>#VALUE!</v>
      </c>
      <c r="AD60" s="439" t="e">
        <f ca="1">(OFFSET($B$5,SUM($W$6:$W60),)-OFFSET($B$5,SUM($W$6:$W60)-1,))+(OFFSET($B$5,SUM($W$6:$W60)-2,)-OFFSET($B$5,SUM($W$6:$W60)-3,))+(OFFSET($B$5,SUM($W$6:$W60)-4,)-OFFSET($B$5,SUM($W$6:$W60)-5,))+(OFFSET($B$5,SUM($W$6:$W60)-6,)-OFFSET($B$5,SUM($W$6:$W60)-7,))</f>
        <v>#VALUE!</v>
      </c>
      <c r="AE60" s="439" t="e">
        <f ca="1">(OFFSET($B$5,SUM($W$6:$W60),)-OFFSET($B$5,SUM($W$6:$W60)-1,))+(OFFSET($B$5,SUM($W$6:$W60)-2,)-OFFSET($B$5,SUM($W$6:$W60)-3,))+(OFFSET($B$5,SUM($W$6:$W60)-4,)-OFFSET($B$5,SUM($W$6:$W60)-5,))</f>
        <v>#VALUE!</v>
      </c>
      <c r="AF60" s="439" t="e">
        <f ca="1">(OFFSET($B$5,SUM($W$6:$W60),)-OFFSET($B$5,SUM($W$6:$W60)-1,))+(OFFSET($B$5,SUM($W$6:$W60)-2,)-OFFSET($B$5,SUM($W$6:$W60)-3,))</f>
        <v>#VALUE!</v>
      </c>
      <c r="AG60" s="439" t="e">
        <f ca="1">(OFFSET($B$5,SUM($W$6:$W60),)-OFFSET($B$5,SUM($W$6:$W60)-1,))</f>
        <v>#VALUE!</v>
      </c>
      <c r="AH60" s="439" t="e">
        <f ca="1">(OFFSET($B$5,SUM($W$6:$W60)-1,)-OFFSET($B$5,SUM($W$6:$W60)-2,))+(OFFSET($B$5,SUM($W$6:$W60)-3,)-OFFSET($B$5,SUM($W$6:$W60)-4,))+(OFFSET($B$5,SUM($W$6:$W60)-5,)-OFFSET($B$5,SUM($W$6:$W60)-6,))+(OFFSET($B$5,SUM($W$6:$W60)-7,)-OFFSET($B$5,SUM($W$6:$W60)-8,))+(OFFSET($B$5,SUM($W$6:$W60)-9,)-OFFSET($B$5,SUM($W$6:$W60)-10,))</f>
        <v>#REF!</v>
      </c>
      <c r="AI60" s="439" t="e">
        <f ca="1">(OFFSET($B$5,SUM($W$6:$W60)-1,)-OFFSET($B$5,SUM($W$6:$W60)-2,))+(OFFSET($B$5,SUM($W$6:$W60)-3,)-OFFSET($B$5,SUM($W$6:$W60)-4,))+(OFFSET($B$5,SUM($W$6:$W60)-5,)-OFFSET($B$5,SUM($W$6:$W60)-6,))+(OFFSET($B$5,SUM($W$6:$W60)-7,)-OFFSET($B$5,SUM($W$6:$W60)-8,))</f>
        <v>#REF!</v>
      </c>
      <c r="AJ60" s="439" t="e">
        <f ca="1">(OFFSET($B$5,SUM($W$6:$W60)-1,)-OFFSET($B$5,SUM($W$6:$W60)-2,))+(OFFSET($B$5,SUM($W$6:$W60)-3,)-OFFSET($B$5,SUM($W$6:$W60)-4,))+(OFFSET($B$5,SUM($W$6:$W60)-5,)-OFFSET($B$5,SUM($W$6:$W60)-6,))</f>
        <v>#REF!</v>
      </c>
      <c r="AK60" s="439">
        <f ca="1">(OFFSET($B$5,SUM($W$6:$W60)-1,)-OFFSET($B$5,SUM($W$6:$W60)-2,))+(OFFSET($B$5,SUM($W$6:$W60)-3,)-OFFSET($B$5,SUM($W$6:$W60)-4,))</f>
        <v>0</v>
      </c>
      <c r="AL60" s="439">
        <f ca="1">(OFFSET($B$5,SUM($W$6:$W60)-1,)-OFFSET($B$5,SUM($W$6:$W60)-2,))</f>
        <v>0</v>
      </c>
      <c r="AM60" s="433">
        <v>2.25</v>
      </c>
    </row>
    <row r="61" spans="2:39" x14ac:dyDescent="0.25">
      <c r="B61" s="338"/>
      <c r="C61" s="57"/>
      <c r="F61" s="371">
        <v>44432</v>
      </c>
      <c r="G61" s="370">
        <f t="shared" si="27"/>
        <v>44432</v>
      </c>
      <c r="H61" s="386">
        <f t="shared" ref="H61:H65" si="41">X61</f>
        <v>0</v>
      </c>
      <c r="I61" s="386">
        <f t="shared" ref="I61:I65" ca="1" si="42">IFERROR(H61+T61+OFFSET($L$38,MATCH(F61,$K$39:$K$67,0),0)-$W$2,H61-$W$2)</f>
        <v>-0.33333333333333331</v>
      </c>
      <c r="J61" s="386">
        <f ca="1">I61+J58</f>
        <v>-5.6666666666666652</v>
      </c>
      <c r="K61" s="164"/>
      <c r="L61" s="60"/>
      <c r="T61" s="438">
        <f t="shared" si="28"/>
        <v>0</v>
      </c>
      <c r="U61" s="439" t="b">
        <f t="shared" si="29"/>
        <v>0</v>
      </c>
      <c r="V61" s="440" t="b">
        <f t="shared" si="30"/>
        <v>0</v>
      </c>
      <c r="W61" s="437">
        <f t="shared" si="31"/>
        <v>0</v>
      </c>
      <c r="X61" s="439">
        <f t="shared" si="9"/>
        <v>0</v>
      </c>
      <c r="Y61" s="439">
        <f t="shared" si="10"/>
        <v>0</v>
      </c>
      <c r="Z61" s="439">
        <f t="shared" si="26"/>
        <v>0</v>
      </c>
      <c r="AA61" s="439" t="e">
        <f ca="1">(OFFSET($B$5,SUM($W$6:$W61),)-OFFSET($B$5,(SUM($W$6:$W61)-SUM($W61:$W61)+1),))</f>
        <v>#VALUE!</v>
      </c>
      <c r="AB61" s="439" t="e">
        <f ca="1">(OFFSET($B$5,SUM($W$6:$W61),)-OFFSET($B$5,SUM($W$6:$W61)-1,))+(OFFSET($B$5,SUM($W$6:$W61)-2,)-OFFSET($B$5,SUM($W$6:$W61)-3,))+(OFFSET($B$5,SUM($W$6:$W61)-4,)-OFFSET($B$5,SUM($W$6:$W61)-5,))+(OFFSET($B$5,SUM($W$6:$W61)-6,)-OFFSET($B$5,SUM($W$6:$W61)-7,))+(OFFSET($B$5,SUM($W$6:$W61)-8,)-OFFSET($B$5,SUM($W$6:$W61)-9,))+(OFFSET($B$5,SUM($W$6:$W61)-10,)-OFFSET($B$5,SUM($W$6:$W61)-11,))</f>
        <v>#VALUE!</v>
      </c>
      <c r="AC61" s="439" t="e">
        <f ca="1">(OFFSET($B$5,SUM($W$6:$W61),)-OFFSET($B$5,SUM($W$6:$W61)-1,))+(OFFSET($B$5,SUM($W$6:$W61)-2,)-OFFSET($B$5,SUM($W$6:$W61)-3,))+(OFFSET($B$5,SUM($W$6:$W61)-4,)-OFFSET($B$5,SUM($W$6:$W61)-5,))+(OFFSET($B$5,SUM($W$6:$W61)-6,)-OFFSET($B$5,SUM($W$6:$W61)-7,))+(OFFSET($B$5,SUM($W$6:$W61)-8,)-OFFSET($B$5,SUM($W$6:$W61)-9,))</f>
        <v>#VALUE!</v>
      </c>
      <c r="AD61" s="439" t="e">
        <f ca="1">(OFFSET($B$5,SUM($W$6:$W61),)-OFFSET($B$5,SUM($W$6:$W61)-1,))+(OFFSET($B$5,SUM($W$6:$W61)-2,)-OFFSET($B$5,SUM($W$6:$W61)-3,))+(OFFSET($B$5,SUM($W$6:$W61)-4,)-OFFSET($B$5,SUM($W$6:$W61)-5,))+(OFFSET($B$5,SUM($W$6:$W61)-6,)-OFFSET($B$5,SUM($W$6:$W61)-7,))</f>
        <v>#VALUE!</v>
      </c>
      <c r="AE61" s="439" t="e">
        <f ca="1">(OFFSET($B$5,SUM($W$6:$W61),)-OFFSET($B$5,SUM($W$6:$W61)-1,))+(OFFSET($B$5,SUM($W$6:$W61)-2,)-OFFSET($B$5,SUM($W$6:$W61)-3,))+(OFFSET($B$5,SUM($W$6:$W61)-4,)-OFFSET($B$5,SUM($W$6:$W61)-5,))</f>
        <v>#VALUE!</v>
      </c>
      <c r="AF61" s="439" t="e">
        <f ca="1">(OFFSET($B$5,SUM($W$6:$W61),)-OFFSET($B$5,SUM($W$6:$W61)-1,))+(OFFSET($B$5,SUM($W$6:$W61)-2,)-OFFSET($B$5,SUM($W$6:$W61)-3,))</f>
        <v>#VALUE!</v>
      </c>
      <c r="AG61" s="439" t="e">
        <f ca="1">(OFFSET($B$5,SUM($W$6:$W61),)-OFFSET($B$5,SUM($W$6:$W61)-1,))</f>
        <v>#VALUE!</v>
      </c>
      <c r="AH61" s="439" t="e">
        <f ca="1">(OFFSET($B$5,SUM($W$6:$W61)-1,)-OFFSET($B$5,SUM($W$6:$W61)-2,))+(OFFSET($B$5,SUM($W$6:$W61)-3,)-OFFSET($B$5,SUM($W$6:$W61)-4,))+(OFFSET($B$5,SUM($W$6:$W61)-5,)-OFFSET($B$5,SUM($W$6:$W61)-6,))+(OFFSET($B$5,SUM($W$6:$W61)-7,)-OFFSET($B$5,SUM($W$6:$W61)-8,))+(OFFSET($B$5,SUM($W$6:$W61)-9,)-OFFSET($B$5,SUM($W$6:$W61)-10,))</f>
        <v>#REF!</v>
      </c>
      <c r="AI61" s="439" t="e">
        <f ca="1">(OFFSET($B$5,SUM($W$6:$W61)-1,)-OFFSET($B$5,SUM($W$6:$W61)-2,))+(OFFSET($B$5,SUM($W$6:$W61)-3,)-OFFSET($B$5,SUM($W$6:$W61)-4,))+(OFFSET($B$5,SUM($W$6:$W61)-5,)-OFFSET($B$5,SUM($W$6:$W61)-6,))+(OFFSET($B$5,SUM($W$6:$W61)-7,)-OFFSET($B$5,SUM($W$6:$W61)-8,))</f>
        <v>#REF!</v>
      </c>
      <c r="AJ61" s="439" t="e">
        <f ca="1">(OFFSET($B$5,SUM($W$6:$W61)-1,)-OFFSET($B$5,SUM($W$6:$W61)-2,))+(OFFSET($B$5,SUM($W$6:$W61)-3,)-OFFSET($B$5,SUM($W$6:$W61)-4,))+(OFFSET($B$5,SUM($W$6:$W61)-5,)-OFFSET($B$5,SUM($W$6:$W61)-6,))</f>
        <v>#REF!</v>
      </c>
      <c r="AK61" s="439">
        <f ca="1">(OFFSET($B$5,SUM($W$6:$W61)-1,)-OFFSET($B$5,SUM($W$6:$W61)-2,))+(OFFSET($B$5,SUM($W$6:$W61)-3,)-OFFSET($B$5,SUM($W$6:$W61)-4,))</f>
        <v>0</v>
      </c>
      <c r="AL61" s="439">
        <f ca="1">(OFFSET($B$5,SUM($W$6:$W61)-1,)-OFFSET($B$5,SUM($W$6:$W61)-2,))</f>
        <v>0</v>
      </c>
      <c r="AM61" s="433">
        <v>2.2916666666666701</v>
      </c>
    </row>
    <row r="62" spans="2:39" x14ac:dyDescent="0.25">
      <c r="B62" s="338"/>
      <c r="C62" s="57"/>
      <c r="F62" s="371">
        <v>44433</v>
      </c>
      <c r="G62" s="370">
        <f t="shared" si="27"/>
        <v>44433</v>
      </c>
      <c r="H62" s="386">
        <f t="shared" si="41"/>
        <v>0</v>
      </c>
      <c r="I62" s="386">
        <f t="shared" ca="1" si="42"/>
        <v>-0.33333333333333331</v>
      </c>
      <c r="J62" s="386">
        <f ca="1">I62+J61</f>
        <v>-5.9999999999999982</v>
      </c>
      <c r="K62" s="164"/>
      <c r="L62" s="60"/>
      <c r="T62" s="438">
        <f t="shared" si="28"/>
        <v>0</v>
      </c>
      <c r="U62" s="439" t="b">
        <f t="shared" si="29"/>
        <v>0</v>
      </c>
      <c r="V62" s="440" t="b">
        <f t="shared" si="30"/>
        <v>0</v>
      </c>
      <c r="W62" s="437">
        <f t="shared" si="31"/>
        <v>0</v>
      </c>
      <c r="X62" s="439">
        <f t="shared" si="9"/>
        <v>0</v>
      </c>
      <c r="Y62" s="439">
        <f t="shared" si="10"/>
        <v>0</v>
      </c>
      <c r="Z62" s="439">
        <f t="shared" si="26"/>
        <v>0</v>
      </c>
      <c r="AA62" s="439" t="e">
        <f ca="1">(OFFSET($B$5,SUM($W$6:$W62),)-OFFSET($B$5,(SUM($W$6:$W62)-SUM($W62:$W62)+1),))</f>
        <v>#VALUE!</v>
      </c>
      <c r="AB62" s="439" t="e">
        <f ca="1">(OFFSET($B$5,SUM($W$6:$W62),)-OFFSET($B$5,SUM($W$6:$W62)-1,))+(OFFSET($B$5,SUM($W$6:$W62)-2,)-OFFSET($B$5,SUM($W$6:$W62)-3,))+(OFFSET($B$5,SUM($W$6:$W62)-4,)-OFFSET($B$5,SUM($W$6:$W62)-5,))+(OFFSET($B$5,SUM($W$6:$W62)-6,)-OFFSET($B$5,SUM($W$6:$W62)-7,))+(OFFSET($B$5,SUM($W$6:$W62)-8,)-OFFSET($B$5,SUM($W$6:$W62)-9,))+(OFFSET($B$5,SUM($W$6:$W62)-10,)-OFFSET($B$5,SUM($W$6:$W62)-11,))</f>
        <v>#VALUE!</v>
      </c>
      <c r="AC62" s="439" t="e">
        <f ca="1">(OFFSET($B$5,SUM($W$6:$W62),)-OFFSET($B$5,SUM($W$6:$W62)-1,))+(OFFSET($B$5,SUM($W$6:$W62)-2,)-OFFSET($B$5,SUM($W$6:$W62)-3,))+(OFFSET($B$5,SUM($W$6:$W62)-4,)-OFFSET($B$5,SUM($W$6:$W62)-5,))+(OFFSET($B$5,SUM($W$6:$W62)-6,)-OFFSET($B$5,SUM($W$6:$W62)-7,))+(OFFSET($B$5,SUM($W$6:$W62)-8,)-OFFSET($B$5,SUM($W$6:$W62)-9,))</f>
        <v>#VALUE!</v>
      </c>
      <c r="AD62" s="439" t="e">
        <f ca="1">(OFFSET($B$5,SUM($W$6:$W62),)-OFFSET($B$5,SUM($W$6:$W62)-1,))+(OFFSET($B$5,SUM($W$6:$W62)-2,)-OFFSET($B$5,SUM($W$6:$W62)-3,))+(OFFSET($B$5,SUM($W$6:$W62)-4,)-OFFSET($B$5,SUM($W$6:$W62)-5,))+(OFFSET($B$5,SUM($W$6:$W62)-6,)-OFFSET($B$5,SUM($W$6:$W62)-7,))</f>
        <v>#VALUE!</v>
      </c>
      <c r="AE62" s="439" t="e">
        <f ca="1">(OFFSET($B$5,SUM($W$6:$W62),)-OFFSET($B$5,SUM($W$6:$W62)-1,))+(OFFSET($B$5,SUM($W$6:$W62)-2,)-OFFSET($B$5,SUM($W$6:$W62)-3,))+(OFFSET($B$5,SUM($W$6:$W62)-4,)-OFFSET($B$5,SUM($W$6:$W62)-5,))</f>
        <v>#VALUE!</v>
      </c>
      <c r="AF62" s="439" t="e">
        <f ca="1">(OFFSET($B$5,SUM($W$6:$W62),)-OFFSET($B$5,SUM($W$6:$W62)-1,))+(OFFSET($B$5,SUM($W$6:$W62)-2,)-OFFSET($B$5,SUM($W$6:$W62)-3,))</f>
        <v>#VALUE!</v>
      </c>
      <c r="AG62" s="439" t="e">
        <f ca="1">(OFFSET($B$5,SUM($W$6:$W62),)-OFFSET($B$5,SUM($W$6:$W62)-1,))</f>
        <v>#VALUE!</v>
      </c>
      <c r="AH62" s="439" t="e">
        <f ca="1">(OFFSET($B$5,SUM($W$6:$W62)-1,)-OFFSET($B$5,SUM($W$6:$W62)-2,))+(OFFSET($B$5,SUM($W$6:$W62)-3,)-OFFSET($B$5,SUM($W$6:$W62)-4,))+(OFFSET($B$5,SUM($W$6:$W62)-5,)-OFFSET($B$5,SUM($W$6:$W62)-6,))+(OFFSET($B$5,SUM($W$6:$W62)-7,)-OFFSET($B$5,SUM($W$6:$W62)-8,))+(OFFSET($B$5,SUM($W$6:$W62)-9,)-OFFSET($B$5,SUM($W$6:$W62)-10,))</f>
        <v>#REF!</v>
      </c>
      <c r="AI62" s="439" t="e">
        <f ca="1">(OFFSET($B$5,SUM($W$6:$W62)-1,)-OFFSET($B$5,SUM($W$6:$W62)-2,))+(OFFSET($B$5,SUM($W$6:$W62)-3,)-OFFSET($B$5,SUM($W$6:$W62)-4,))+(OFFSET($B$5,SUM($W$6:$W62)-5,)-OFFSET($B$5,SUM($W$6:$W62)-6,))+(OFFSET($B$5,SUM($W$6:$W62)-7,)-OFFSET($B$5,SUM($W$6:$W62)-8,))</f>
        <v>#REF!</v>
      </c>
      <c r="AJ62" s="439" t="e">
        <f ca="1">(OFFSET($B$5,SUM($W$6:$W62)-1,)-OFFSET($B$5,SUM($W$6:$W62)-2,))+(OFFSET($B$5,SUM($W$6:$W62)-3,)-OFFSET($B$5,SUM($W$6:$W62)-4,))+(OFFSET($B$5,SUM($W$6:$W62)-5,)-OFFSET($B$5,SUM($W$6:$W62)-6,))</f>
        <v>#REF!</v>
      </c>
      <c r="AK62" s="439">
        <f ca="1">(OFFSET($B$5,SUM($W$6:$W62)-1,)-OFFSET($B$5,SUM($W$6:$W62)-2,))+(OFFSET($B$5,SUM($W$6:$W62)-3,)-OFFSET($B$5,SUM($W$6:$W62)-4,))</f>
        <v>0</v>
      </c>
      <c r="AL62" s="439">
        <f ca="1">(OFFSET($B$5,SUM($W$6:$W62)-1,)-OFFSET($B$5,SUM($W$6:$W62)-2,))</f>
        <v>0</v>
      </c>
      <c r="AM62" s="433">
        <v>2.3333333333333299</v>
      </c>
    </row>
    <row r="63" spans="2:39" x14ac:dyDescent="0.25">
      <c r="B63" s="338"/>
      <c r="C63" s="57"/>
      <c r="F63" s="371">
        <v>44434</v>
      </c>
      <c r="G63" s="370">
        <f t="shared" si="27"/>
        <v>44434</v>
      </c>
      <c r="H63" s="386">
        <f t="shared" si="41"/>
        <v>0</v>
      </c>
      <c r="I63" s="386">
        <f t="shared" ca="1" si="42"/>
        <v>-0.33333333333333331</v>
      </c>
      <c r="J63" s="386">
        <f t="shared" ref="J63:J65" ca="1" si="43">I63+J62</f>
        <v>-6.3333333333333313</v>
      </c>
      <c r="K63" s="164"/>
      <c r="L63" s="60"/>
      <c r="T63" s="438">
        <f t="shared" si="28"/>
        <v>0</v>
      </c>
      <c r="U63" s="439" t="b">
        <f t="shared" si="29"/>
        <v>0</v>
      </c>
      <c r="V63" s="440" t="b">
        <f t="shared" si="30"/>
        <v>0</v>
      </c>
      <c r="W63" s="437">
        <f t="shared" si="31"/>
        <v>0</v>
      </c>
      <c r="X63" s="439">
        <f t="shared" si="9"/>
        <v>0</v>
      </c>
      <c r="Y63" s="439">
        <f t="shared" si="10"/>
        <v>0</v>
      </c>
      <c r="Z63" s="439">
        <f t="shared" si="26"/>
        <v>0</v>
      </c>
      <c r="AA63" s="439" t="e">
        <f ca="1">(OFFSET($B$5,SUM($W$6:$W63),)-OFFSET($B$5,(SUM($W$6:$W63)-SUM($W63:$W63)+1),))</f>
        <v>#VALUE!</v>
      </c>
      <c r="AB63" s="439" t="e">
        <f ca="1">(OFFSET($B$5,SUM($W$6:$W63),)-OFFSET($B$5,SUM($W$6:$W63)-1,))+(OFFSET($B$5,SUM($W$6:$W63)-2,)-OFFSET($B$5,SUM($W$6:$W63)-3,))+(OFFSET($B$5,SUM($W$6:$W63)-4,)-OFFSET($B$5,SUM($W$6:$W63)-5,))+(OFFSET($B$5,SUM($W$6:$W63)-6,)-OFFSET($B$5,SUM($W$6:$W63)-7,))+(OFFSET($B$5,SUM($W$6:$W63)-8,)-OFFSET($B$5,SUM($W$6:$W63)-9,))+(OFFSET($B$5,SUM($W$6:$W63)-10,)-OFFSET($B$5,SUM($W$6:$W63)-11,))</f>
        <v>#VALUE!</v>
      </c>
      <c r="AC63" s="439" t="e">
        <f ca="1">(OFFSET($B$5,SUM($W$6:$W63),)-OFFSET($B$5,SUM($W$6:$W63)-1,))+(OFFSET($B$5,SUM($W$6:$W63)-2,)-OFFSET($B$5,SUM($W$6:$W63)-3,))+(OFFSET($B$5,SUM($W$6:$W63)-4,)-OFFSET($B$5,SUM($W$6:$W63)-5,))+(OFFSET($B$5,SUM($W$6:$W63)-6,)-OFFSET($B$5,SUM($W$6:$W63)-7,))+(OFFSET($B$5,SUM($W$6:$W63)-8,)-OFFSET($B$5,SUM($W$6:$W63)-9,))</f>
        <v>#VALUE!</v>
      </c>
      <c r="AD63" s="439" t="e">
        <f ca="1">(OFFSET($B$5,SUM($W$6:$W63),)-OFFSET($B$5,SUM($W$6:$W63)-1,))+(OFFSET($B$5,SUM($W$6:$W63)-2,)-OFFSET($B$5,SUM($W$6:$W63)-3,))+(OFFSET($B$5,SUM($W$6:$W63)-4,)-OFFSET($B$5,SUM($W$6:$W63)-5,))+(OFFSET($B$5,SUM($W$6:$W63)-6,)-OFFSET($B$5,SUM($W$6:$W63)-7,))</f>
        <v>#VALUE!</v>
      </c>
      <c r="AE63" s="439" t="e">
        <f ca="1">(OFFSET($B$5,SUM($W$6:$W63),)-OFFSET($B$5,SUM($W$6:$W63)-1,))+(OFFSET($B$5,SUM($W$6:$W63)-2,)-OFFSET($B$5,SUM($W$6:$W63)-3,))+(OFFSET($B$5,SUM($W$6:$W63)-4,)-OFFSET($B$5,SUM($W$6:$W63)-5,))</f>
        <v>#VALUE!</v>
      </c>
      <c r="AF63" s="439" t="e">
        <f ca="1">(OFFSET($B$5,SUM($W$6:$W63),)-OFFSET($B$5,SUM($W$6:$W63)-1,))+(OFFSET($B$5,SUM($W$6:$W63)-2,)-OFFSET($B$5,SUM($W$6:$W63)-3,))</f>
        <v>#VALUE!</v>
      </c>
      <c r="AG63" s="439" t="e">
        <f ca="1">(OFFSET($B$5,SUM($W$6:$W63),)-OFFSET($B$5,SUM($W$6:$W63)-1,))</f>
        <v>#VALUE!</v>
      </c>
      <c r="AH63" s="439" t="e">
        <f ca="1">(OFFSET($B$5,SUM($W$6:$W63)-1,)-OFFSET($B$5,SUM($W$6:$W63)-2,))+(OFFSET($B$5,SUM($W$6:$W63)-3,)-OFFSET($B$5,SUM($W$6:$W63)-4,))+(OFFSET($B$5,SUM($W$6:$W63)-5,)-OFFSET($B$5,SUM($W$6:$W63)-6,))+(OFFSET($B$5,SUM($W$6:$W63)-7,)-OFFSET($B$5,SUM($W$6:$W63)-8,))+(OFFSET($B$5,SUM($W$6:$W63)-9,)-OFFSET($B$5,SUM($W$6:$W63)-10,))</f>
        <v>#REF!</v>
      </c>
      <c r="AI63" s="439" t="e">
        <f ca="1">(OFFSET($B$5,SUM($W$6:$W63)-1,)-OFFSET($B$5,SUM($W$6:$W63)-2,))+(OFFSET($B$5,SUM($W$6:$W63)-3,)-OFFSET($B$5,SUM($W$6:$W63)-4,))+(OFFSET($B$5,SUM($W$6:$W63)-5,)-OFFSET($B$5,SUM($W$6:$W63)-6,))+(OFFSET($B$5,SUM($W$6:$W63)-7,)-OFFSET($B$5,SUM($W$6:$W63)-8,))</f>
        <v>#REF!</v>
      </c>
      <c r="AJ63" s="439" t="e">
        <f ca="1">(OFFSET($B$5,SUM($W$6:$W63)-1,)-OFFSET($B$5,SUM($W$6:$W63)-2,))+(OFFSET($B$5,SUM($W$6:$W63)-3,)-OFFSET($B$5,SUM($W$6:$W63)-4,))+(OFFSET($B$5,SUM($W$6:$W63)-5,)-OFFSET($B$5,SUM($W$6:$W63)-6,))</f>
        <v>#REF!</v>
      </c>
      <c r="AK63" s="439">
        <f ca="1">(OFFSET($B$5,SUM($W$6:$W63)-1,)-OFFSET($B$5,SUM($W$6:$W63)-2,))+(OFFSET($B$5,SUM($W$6:$W63)-3,)-OFFSET($B$5,SUM($W$6:$W63)-4,))</f>
        <v>0</v>
      </c>
      <c r="AL63" s="439">
        <f ca="1">(OFFSET($B$5,SUM($W$6:$W63)-1,)-OFFSET($B$5,SUM($W$6:$W63)-2,))</f>
        <v>0</v>
      </c>
      <c r="AM63" s="433">
        <v>2.375</v>
      </c>
    </row>
    <row r="64" spans="2:39" x14ac:dyDescent="0.25">
      <c r="B64" s="338"/>
      <c r="C64" s="57"/>
      <c r="F64" s="371">
        <v>44435</v>
      </c>
      <c r="G64" s="370">
        <f t="shared" si="27"/>
        <v>44435</v>
      </c>
      <c r="H64" s="386">
        <f t="shared" si="41"/>
        <v>0</v>
      </c>
      <c r="I64" s="386">
        <f t="shared" ca="1" si="42"/>
        <v>-0.33333333333333331</v>
      </c>
      <c r="J64" s="386">
        <f t="shared" ca="1" si="43"/>
        <v>-6.6666666666666643</v>
      </c>
      <c r="K64" s="164"/>
      <c r="L64" s="60"/>
      <c r="T64" s="438">
        <f t="shared" si="28"/>
        <v>0</v>
      </c>
      <c r="U64" s="439" t="b">
        <f t="shared" si="29"/>
        <v>0</v>
      </c>
      <c r="V64" s="440" t="b">
        <f t="shared" si="30"/>
        <v>0</v>
      </c>
      <c r="W64" s="437">
        <f t="shared" si="31"/>
        <v>0</v>
      </c>
      <c r="X64" s="439">
        <f t="shared" si="9"/>
        <v>0</v>
      </c>
      <c r="Y64" s="439">
        <f t="shared" si="10"/>
        <v>0</v>
      </c>
      <c r="Z64" s="439">
        <f t="shared" si="26"/>
        <v>0</v>
      </c>
      <c r="AA64" s="439" t="e">
        <f ca="1">(OFFSET($B$5,SUM($W$6:$W64),)-OFFSET($B$5,(SUM($W$6:$W64)-SUM($W64:$W64)+1),))</f>
        <v>#VALUE!</v>
      </c>
      <c r="AB64" s="439" t="e">
        <f ca="1">(OFFSET($B$5,SUM($W$6:$W64),)-OFFSET($B$5,SUM($W$6:$W64)-1,))+(OFFSET($B$5,SUM($W$6:$W64)-2,)-OFFSET($B$5,SUM($W$6:$W64)-3,))+(OFFSET($B$5,SUM($W$6:$W64)-4,)-OFFSET($B$5,SUM($W$6:$W64)-5,))+(OFFSET($B$5,SUM($W$6:$W64)-6,)-OFFSET($B$5,SUM($W$6:$W64)-7,))+(OFFSET($B$5,SUM($W$6:$W64)-8,)-OFFSET($B$5,SUM($W$6:$W64)-9,))+(OFFSET($B$5,SUM($W$6:$W64)-10,)-OFFSET($B$5,SUM($W$6:$W64)-11,))</f>
        <v>#VALUE!</v>
      </c>
      <c r="AC64" s="439" t="e">
        <f ca="1">(OFFSET($B$5,SUM($W$6:$W64),)-OFFSET($B$5,SUM($W$6:$W64)-1,))+(OFFSET($B$5,SUM($W$6:$W64)-2,)-OFFSET($B$5,SUM($W$6:$W64)-3,))+(OFFSET($B$5,SUM($W$6:$W64)-4,)-OFFSET($B$5,SUM($W$6:$W64)-5,))+(OFFSET($B$5,SUM($W$6:$W64)-6,)-OFFSET($B$5,SUM($W$6:$W64)-7,))+(OFFSET($B$5,SUM($W$6:$W64)-8,)-OFFSET($B$5,SUM($W$6:$W64)-9,))</f>
        <v>#VALUE!</v>
      </c>
      <c r="AD64" s="439" t="e">
        <f ca="1">(OFFSET($B$5,SUM($W$6:$W64),)-OFFSET($B$5,SUM($W$6:$W64)-1,))+(OFFSET($B$5,SUM($W$6:$W64)-2,)-OFFSET($B$5,SUM($W$6:$W64)-3,))+(OFFSET($B$5,SUM($W$6:$W64)-4,)-OFFSET($B$5,SUM($W$6:$W64)-5,))+(OFFSET($B$5,SUM($W$6:$W64)-6,)-OFFSET($B$5,SUM($W$6:$W64)-7,))</f>
        <v>#VALUE!</v>
      </c>
      <c r="AE64" s="439" t="e">
        <f ca="1">(OFFSET($B$5,SUM($W$6:$W64),)-OFFSET($B$5,SUM($W$6:$W64)-1,))+(OFFSET($B$5,SUM($W$6:$W64)-2,)-OFFSET($B$5,SUM($W$6:$W64)-3,))+(OFFSET($B$5,SUM($W$6:$W64)-4,)-OFFSET($B$5,SUM($W$6:$W64)-5,))</f>
        <v>#VALUE!</v>
      </c>
      <c r="AF64" s="439" t="e">
        <f ca="1">(OFFSET($B$5,SUM($W$6:$W64),)-OFFSET($B$5,SUM($W$6:$W64)-1,))+(OFFSET($B$5,SUM($W$6:$W64)-2,)-OFFSET($B$5,SUM($W$6:$W64)-3,))</f>
        <v>#VALUE!</v>
      </c>
      <c r="AG64" s="439" t="e">
        <f ca="1">(OFFSET($B$5,SUM($W$6:$W64),)-OFFSET($B$5,SUM($W$6:$W64)-1,))</f>
        <v>#VALUE!</v>
      </c>
      <c r="AH64" s="439" t="e">
        <f ca="1">(OFFSET($B$5,SUM($W$6:$W64)-1,)-OFFSET($B$5,SUM($W$6:$W64)-2,))+(OFFSET($B$5,SUM($W$6:$W64)-3,)-OFFSET($B$5,SUM($W$6:$W64)-4,))+(OFFSET($B$5,SUM($W$6:$W64)-5,)-OFFSET($B$5,SUM($W$6:$W64)-6,))+(OFFSET($B$5,SUM($W$6:$W64)-7,)-OFFSET($B$5,SUM($W$6:$W64)-8,))+(OFFSET($B$5,SUM($W$6:$W64)-9,)-OFFSET($B$5,SUM($W$6:$W64)-10,))</f>
        <v>#REF!</v>
      </c>
      <c r="AI64" s="439" t="e">
        <f ca="1">(OFFSET($B$5,SUM($W$6:$W64)-1,)-OFFSET($B$5,SUM($W$6:$W64)-2,))+(OFFSET($B$5,SUM($W$6:$W64)-3,)-OFFSET($B$5,SUM($W$6:$W64)-4,))+(OFFSET($B$5,SUM($W$6:$W64)-5,)-OFFSET($B$5,SUM($W$6:$W64)-6,))+(OFFSET($B$5,SUM($W$6:$W64)-7,)-OFFSET($B$5,SUM($W$6:$W64)-8,))</f>
        <v>#REF!</v>
      </c>
      <c r="AJ64" s="439" t="e">
        <f ca="1">(OFFSET($B$5,SUM($W$6:$W64)-1,)-OFFSET($B$5,SUM($W$6:$W64)-2,))+(OFFSET($B$5,SUM($W$6:$W64)-3,)-OFFSET($B$5,SUM($W$6:$W64)-4,))+(OFFSET($B$5,SUM($W$6:$W64)-5,)-OFFSET($B$5,SUM($W$6:$W64)-6,))</f>
        <v>#REF!</v>
      </c>
      <c r="AK64" s="439">
        <f ca="1">(OFFSET($B$5,SUM($W$6:$W64)-1,)-OFFSET($B$5,SUM($W$6:$W64)-2,))+(OFFSET($B$5,SUM($W$6:$W64)-3,)-OFFSET($B$5,SUM($W$6:$W64)-4,))</f>
        <v>0</v>
      </c>
      <c r="AL64" s="439">
        <f ca="1">(OFFSET($B$5,SUM($W$6:$W64)-1,)-OFFSET($B$5,SUM($W$6:$W64)-2,))</f>
        <v>0</v>
      </c>
      <c r="AM64" s="433">
        <v>2.4166666666666701</v>
      </c>
    </row>
    <row r="65" spans="2:39" x14ac:dyDescent="0.25">
      <c r="B65" s="338"/>
      <c r="C65" s="57"/>
      <c r="F65" s="371">
        <v>44436</v>
      </c>
      <c r="G65" s="370">
        <f t="shared" si="27"/>
        <v>44436</v>
      </c>
      <c r="H65" s="386">
        <f t="shared" si="41"/>
        <v>0</v>
      </c>
      <c r="I65" s="386">
        <f t="shared" ca="1" si="42"/>
        <v>-0.33333333333333331</v>
      </c>
      <c r="J65" s="386">
        <f t="shared" ca="1" si="43"/>
        <v>-6.9999999999999973</v>
      </c>
      <c r="K65" s="164"/>
      <c r="L65" s="60"/>
      <c r="T65" s="438">
        <f t="shared" si="28"/>
        <v>0</v>
      </c>
      <c r="U65" s="439" t="b">
        <f t="shared" si="29"/>
        <v>0</v>
      </c>
      <c r="V65" s="440" t="b">
        <f t="shared" si="30"/>
        <v>0</v>
      </c>
      <c r="W65" s="437">
        <f t="shared" si="31"/>
        <v>0</v>
      </c>
      <c r="X65" s="439">
        <f t="shared" si="9"/>
        <v>0</v>
      </c>
      <c r="Y65" s="439">
        <f t="shared" si="10"/>
        <v>0</v>
      </c>
      <c r="Z65" s="439">
        <f t="shared" si="26"/>
        <v>0</v>
      </c>
      <c r="AA65" s="439" t="e">
        <f ca="1">(OFFSET($B$5,SUM($W$6:$W65),)-OFFSET($B$5,(SUM($W$6:$W65)-SUM($W65:$W65)+1),))</f>
        <v>#VALUE!</v>
      </c>
      <c r="AB65" s="439" t="e">
        <f ca="1">(OFFSET($B$5,SUM($W$6:$W65),)-OFFSET($B$5,SUM($W$6:$W65)-1,))+(OFFSET($B$5,SUM($W$6:$W65)-2,)-OFFSET($B$5,SUM($W$6:$W65)-3,))+(OFFSET($B$5,SUM($W$6:$W65)-4,)-OFFSET($B$5,SUM($W$6:$W65)-5,))+(OFFSET($B$5,SUM($W$6:$W65)-6,)-OFFSET($B$5,SUM($W$6:$W65)-7,))+(OFFSET($B$5,SUM($W$6:$W65)-8,)-OFFSET($B$5,SUM($W$6:$W65)-9,))+(OFFSET($B$5,SUM($W$6:$W65)-10,)-OFFSET($B$5,SUM($W$6:$W65)-11,))</f>
        <v>#VALUE!</v>
      </c>
      <c r="AC65" s="439" t="e">
        <f ca="1">(OFFSET($B$5,SUM($W$6:$W65),)-OFFSET($B$5,SUM($W$6:$W65)-1,))+(OFFSET($B$5,SUM($W$6:$W65)-2,)-OFFSET($B$5,SUM($W$6:$W65)-3,))+(OFFSET($B$5,SUM($W$6:$W65)-4,)-OFFSET($B$5,SUM($W$6:$W65)-5,))+(OFFSET($B$5,SUM($W$6:$W65)-6,)-OFFSET($B$5,SUM($W$6:$W65)-7,))+(OFFSET($B$5,SUM($W$6:$W65)-8,)-OFFSET($B$5,SUM($W$6:$W65)-9,))</f>
        <v>#VALUE!</v>
      </c>
      <c r="AD65" s="439" t="e">
        <f ca="1">(OFFSET($B$5,SUM($W$6:$W65),)-OFFSET($B$5,SUM($W$6:$W65)-1,))+(OFFSET($B$5,SUM($W$6:$W65)-2,)-OFFSET($B$5,SUM($W$6:$W65)-3,))+(OFFSET($B$5,SUM($W$6:$W65)-4,)-OFFSET($B$5,SUM($W$6:$W65)-5,))+(OFFSET($B$5,SUM($W$6:$W65)-6,)-OFFSET($B$5,SUM($W$6:$W65)-7,))</f>
        <v>#VALUE!</v>
      </c>
      <c r="AE65" s="439" t="e">
        <f ca="1">(OFFSET($B$5,SUM($W$6:$W65),)-OFFSET($B$5,SUM($W$6:$W65)-1,))+(OFFSET($B$5,SUM($W$6:$W65)-2,)-OFFSET($B$5,SUM($W$6:$W65)-3,))+(OFFSET($B$5,SUM($W$6:$W65)-4,)-OFFSET($B$5,SUM($W$6:$W65)-5,))</f>
        <v>#VALUE!</v>
      </c>
      <c r="AF65" s="439" t="e">
        <f ca="1">(OFFSET($B$5,SUM($W$6:$W65),)-OFFSET($B$5,SUM($W$6:$W65)-1,))+(OFFSET($B$5,SUM($W$6:$W65)-2,)-OFFSET($B$5,SUM($W$6:$W65)-3,))</f>
        <v>#VALUE!</v>
      </c>
      <c r="AG65" s="439" t="e">
        <f ca="1">(OFFSET($B$5,SUM($W$6:$W65),)-OFFSET($B$5,SUM($W$6:$W65)-1,))</f>
        <v>#VALUE!</v>
      </c>
      <c r="AH65" s="439" t="e">
        <f ca="1">(OFFSET($B$5,SUM($W$6:$W65)-1,)-OFFSET($B$5,SUM($W$6:$W65)-2,))+(OFFSET($B$5,SUM($W$6:$W65)-3,)-OFFSET($B$5,SUM($W$6:$W65)-4,))+(OFFSET($B$5,SUM($W$6:$W65)-5,)-OFFSET($B$5,SUM($W$6:$W65)-6,))+(OFFSET($B$5,SUM($W$6:$W65)-7,)-OFFSET($B$5,SUM($W$6:$W65)-8,))+(OFFSET($B$5,SUM($W$6:$W65)-9,)-OFFSET($B$5,SUM($W$6:$W65)-10,))</f>
        <v>#REF!</v>
      </c>
      <c r="AI65" s="439" t="e">
        <f ca="1">(OFFSET($B$5,SUM($W$6:$W65)-1,)-OFFSET($B$5,SUM($W$6:$W65)-2,))+(OFFSET($B$5,SUM($W$6:$W65)-3,)-OFFSET($B$5,SUM($W$6:$W65)-4,))+(OFFSET($B$5,SUM($W$6:$W65)-5,)-OFFSET($B$5,SUM($W$6:$W65)-6,))+(OFFSET($B$5,SUM($W$6:$W65)-7,)-OFFSET($B$5,SUM($W$6:$W65)-8,))</f>
        <v>#REF!</v>
      </c>
      <c r="AJ65" s="439" t="e">
        <f ca="1">(OFFSET($B$5,SUM($W$6:$W65)-1,)-OFFSET($B$5,SUM($W$6:$W65)-2,))+(OFFSET($B$5,SUM($W$6:$W65)-3,)-OFFSET($B$5,SUM($W$6:$W65)-4,))+(OFFSET($B$5,SUM($W$6:$W65)-5,)-OFFSET($B$5,SUM($W$6:$W65)-6,))</f>
        <v>#REF!</v>
      </c>
      <c r="AK65" s="439">
        <f ca="1">(OFFSET($B$5,SUM($W$6:$W65)-1,)-OFFSET($B$5,SUM($W$6:$W65)-2,))+(OFFSET($B$5,SUM($W$6:$W65)-3,)-OFFSET($B$5,SUM($W$6:$W65)-4,))</f>
        <v>0</v>
      </c>
      <c r="AL65" s="439">
        <f ca="1">(OFFSET($B$5,SUM($W$6:$W65)-1,)-OFFSET($B$5,SUM($W$6:$W65)-2,))</f>
        <v>0</v>
      </c>
      <c r="AM65" s="433">
        <v>2.4583333333333299</v>
      </c>
    </row>
    <row r="66" spans="2:39" x14ac:dyDescent="0.25">
      <c r="B66" s="338"/>
      <c r="C66" s="57"/>
      <c r="F66" s="371">
        <v>44437</v>
      </c>
      <c r="G66" s="404">
        <f t="shared" si="27"/>
        <v>44437</v>
      </c>
      <c r="H66" s="389"/>
      <c r="I66" s="389"/>
      <c r="J66" s="389"/>
      <c r="K66" s="164"/>
      <c r="L66" s="60"/>
      <c r="T66" s="438">
        <f t="shared" si="28"/>
        <v>0</v>
      </c>
      <c r="U66" s="439" t="b">
        <f t="shared" si="29"/>
        <v>0</v>
      </c>
      <c r="V66" s="440" t="b">
        <f t="shared" si="30"/>
        <v>0</v>
      </c>
      <c r="W66" s="437">
        <f t="shared" si="31"/>
        <v>0</v>
      </c>
      <c r="X66" s="439">
        <f t="shared" si="9"/>
        <v>0</v>
      </c>
      <c r="Y66" s="439">
        <f t="shared" si="10"/>
        <v>0</v>
      </c>
      <c r="Z66" s="439">
        <f t="shared" si="26"/>
        <v>0</v>
      </c>
      <c r="AA66" s="439" t="e">
        <f ca="1">(OFFSET($B$5,SUM($W$6:$W66),)-OFFSET($B$5,(SUM($W$6:$W66)-SUM($W66:$W66)+1),))</f>
        <v>#VALUE!</v>
      </c>
      <c r="AB66" s="439" t="e">
        <f ca="1">(OFFSET($B$5,SUM($W$6:$W66),)-OFFSET($B$5,SUM($W$6:$W66)-1,))+(OFFSET($B$5,SUM($W$6:$W66)-2,)-OFFSET($B$5,SUM($W$6:$W66)-3,))+(OFFSET($B$5,SUM($W$6:$W66)-4,)-OFFSET($B$5,SUM($W$6:$W66)-5,))+(OFFSET($B$5,SUM($W$6:$W66)-6,)-OFFSET($B$5,SUM($W$6:$W66)-7,))+(OFFSET($B$5,SUM($W$6:$W66)-8,)-OFFSET($B$5,SUM($W$6:$W66)-9,))+(OFFSET($B$5,SUM($W$6:$W66)-10,)-OFFSET($B$5,SUM($W$6:$W66)-11,))</f>
        <v>#VALUE!</v>
      </c>
      <c r="AC66" s="439" t="e">
        <f ca="1">(OFFSET($B$5,SUM($W$6:$W66),)-OFFSET($B$5,SUM($W$6:$W66)-1,))+(OFFSET($B$5,SUM($W$6:$W66)-2,)-OFFSET($B$5,SUM($W$6:$W66)-3,))+(OFFSET($B$5,SUM($W$6:$W66)-4,)-OFFSET($B$5,SUM($W$6:$W66)-5,))+(OFFSET($B$5,SUM($W$6:$W66)-6,)-OFFSET($B$5,SUM($W$6:$W66)-7,))+(OFFSET($B$5,SUM($W$6:$W66)-8,)-OFFSET($B$5,SUM($W$6:$W66)-9,))</f>
        <v>#VALUE!</v>
      </c>
      <c r="AD66" s="439" t="e">
        <f ca="1">(OFFSET($B$5,SUM($W$6:$W66),)-OFFSET($B$5,SUM($W$6:$W66)-1,))+(OFFSET($B$5,SUM($W$6:$W66)-2,)-OFFSET($B$5,SUM($W$6:$W66)-3,))+(OFFSET($B$5,SUM($W$6:$W66)-4,)-OFFSET($B$5,SUM($W$6:$W66)-5,))+(OFFSET($B$5,SUM($W$6:$W66)-6,)-OFFSET($B$5,SUM($W$6:$W66)-7,))</f>
        <v>#VALUE!</v>
      </c>
      <c r="AE66" s="439" t="e">
        <f ca="1">(OFFSET($B$5,SUM($W$6:$W66),)-OFFSET($B$5,SUM($W$6:$W66)-1,))+(OFFSET($B$5,SUM($W$6:$W66)-2,)-OFFSET($B$5,SUM($W$6:$W66)-3,))+(OFFSET($B$5,SUM($W$6:$W66)-4,)-OFFSET($B$5,SUM($W$6:$W66)-5,))</f>
        <v>#VALUE!</v>
      </c>
      <c r="AF66" s="439" t="e">
        <f ca="1">(OFFSET($B$5,SUM($W$6:$W66),)-OFFSET($B$5,SUM($W$6:$W66)-1,))+(OFFSET($B$5,SUM($W$6:$W66)-2,)-OFFSET($B$5,SUM($W$6:$W66)-3,))</f>
        <v>#VALUE!</v>
      </c>
      <c r="AG66" s="439" t="e">
        <f ca="1">(OFFSET($B$5,SUM($W$6:$W66),)-OFFSET($B$5,SUM($W$6:$W66)-1,))</f>
        <v>#VALUE!</v>
      </c>
      <c r="AH66" s="439" t="e">
        <f ca="1">(OFFSET($B$5,SUM($W$6:$W66)-1,)-OFFSET($B$5,SUM($W$6:$W66)-2,))+(OFFSET($B$5,SUM($W$6:$W66)-3,)-OFFSET($B$5,SUM($W$6:$W66)-4,))+(OFFSET($B$5,SUM($W$6:$W66)-5,)-OFFSET($B$5,SUM($W$6:$W66)-6,))+(OFFSET($B$5,SUM($W$6:$W66)-7,)-OFFSET($B$5,SUM($W$6:$W66)-8,))+(OFFSET($B$5,SUM($W$6:$W66)-9,)-OFFSET($B$5,SUM($W$6:$W66)-10,))</f>
        <v>#REF!</v>
      </c>
      <c r="AI66" s="439" t="e">
        <f ca="1">(OFFSET($B$5,SUM($W$6:$W66)-1,)-OFFSET($B$5,SUM($W$6:$W66)-2,))+(OFFSET($B$5,SUM($W$6:$W66)-3,)-OFFSET($B$5,SUM($W$6:$W66)-4,))+(OFFSET($B$5,SUM($W$6:$W66)-5,)-OFFSET($B$5,SUM($W$6:$W66)-6,))+(OFFSET($B$5,SUM($W$6:$W66)-7,)-OFFSET($B$5,SUM($W$6:$W66)-8,))</f>
        <v>#REF!</v>
      </c>
      <c r="AJ66" s="439" t="e">
        <f ca="1">(OFFSET($B$5,SUM($W$6:$W66)-1,)-OFFSET($B$5,SUM($W$6:$W66)-2,))+(OFFSET($B$5,SUM($W$6:$W66)-3,)-OFFSET($B$5,SUM($W$6:$W66)-4,))+(OFFSET($B$5,SUM($W$6:$W66)-5,)-OFFSET($B$5,SUM($W$6:$W66)-6,))</f>
        <v>#REF!</v>
      </c>
      <c r="AK66" s="439">
        <f ca="1">(OFFSET($B$5,SUM($W$6:$W66)-1,)-OFFSET($B$5,SUM($W$6:$W66)-2,))+(OFFSET($B$5,SUM($W$6:$W66)-3,)-OFFSET($B$5,SUM($W$6:$W66)-4,))</f>
        <v>0</v>
      </c>
      <c r="AL66" s="439">
        <f ca="1">(OFFSET($B$5,SUM($W$6:$W66)-1,)-OFFSET($B$5,SUM($W$6:$W66)-2,))</f>
        <v>0</v>
      </c>
      <c r="AM66" s="433">
        <v>2.5</v>
      </c>
    </row>
    <row r="67" spans="2:39" ht="15.75" thickBot="1" x14ac:dyDescent="0.3">
      <c r="B67" s="338"/>
      <c r="C67" s="57"/>
      <c r="F67" s="371">
        <v>44438</v>
      </c>
      <c r="G67" s="406">
        <f t="shared" si="27"/>
        <v>44438</v>
      </c>
      <c r="H67" s="407"/>
      <c r="I67" s="407"/>
      <c r="J67" s="407"/>
      <c r="K67" s="165"/>
      <c r="L67" s="62"/>
      <c r="T67" s="438">
        <f t="shared" si="28"/>
        <v>0</v>
      </c>
      <c r="U67" s="439" t="b">
        <f t="shared" si="29"/>
        <v>0</v>
      </c>
      <c r="V67" s="440" t="b">
        <f t="shared" si="30"/>
        <v>0</v>
      </c>
      <c r="W67" s="437">
        <f t="shared" si="31"/>
        <v>0</v>
      </c>
      <c r="X67" s="439">
        <f t="shared" si="9"/>
        <v>0</v>
      </c>
      <c r="Y67" s="439">
        <f t="shared" si="10"/>
        <v>0</v>
      </c>
      <c r="Z67" s="439">
        <f t="shared" si="26"/>
        <v>0</v>
      </c>
      <c r="AA67" s="439" t="e">
        <f ca="1">(OFFSET($B$5,SUM($W$6:$W67),)-OFFSET($B$5,(SUM($W$6:$W67)-SUM($W67:$W67)+1),))</f>
        <v>#VALUE!</v>
      </c>
      <c r="AB67" s="439" t="e">
        <f ca="1">(OFFSET($B$5,SUM($W$6:$W67),)-OFFSET($B$5,SUM($W$6:$W67)-1,))+(OFFSET($B$5,SUM($W$6:$W67)-2,)-OFFSET($B$5,SUM($W$6:$W67)-3,))+(OFFSET($B$5,SUM($W$6:$W67)-4,)-OFFSET($B$5,SUM($W$6:$W67)-5,))+(OFFSET($B$5,SUM($W$6:$W67)-6,)-OFFSET($B$5,SUM($W$6:$W67)-7,))+(OFFSET($B$5,SUM($W$6:$W67)-8,)-OFFSET($B$5,SUM($W$6:$W67)-9,))+(OFFSET($B$5,SUM($W$6:$W67)-10,)-OFFSET($B$5,SUM($W$6:$W67)-11,))</f>
        <v>#VALUE!</v>
      </c>
      <c r="AC67" s="439" t="e">
        <f ca="1">(OFFSET($B$5,SUM($W$6:$W67),)-OFFSET($B$5,SUM($W$6:$W67)-1,))+(OFFSET($B$5,SUM($W$6:$W67)-2,)-OFFSET($B$5,SUM($W$6:$W67)-3,))+(OFFSET($B$5,SUM($W$6:$W67)-4,)-OFFSET($B$5,SUM($W$6:$W67)-5,))+(OFFSET($B$5,SUM($W$6:$W67)-6,)-OFFSET($B$5,SUM($W$6:$W67)-7,))+(OFFSET($B$5,SUM($W$6:$W67)-8,)-OFFSET($B$5,SUM($W$6:$W67)-9,))</f>
        <v>#VALUE!</v>
      </c>
      <c r="AD67" s="439" t="e">
        <f ca="1">(OFFSET($B$5,SUM($W$6:$W67),)-OFFSET($B$5,SUM($W$6:$W67)-1,))+(OFFSET($B$5,SUM($W$6:$W67)-2,)-OFFSET($B$5,SUM($W$6:$W67)-3,))+(OFFSET($B$5,SUM($W$6:$W67)-4,)-OFFSET($B$5,SUM($W$6:$W67)-5,))+(OFFSET($B$5,SUM($W$6:$W67)-6,)-OFFSET($B$5,SUM($W$6:$W67)-7,))</f>
        <v>#VALUE!</v>
      </c>
      <c r="AE67" s="439" t="e">
        <f ca="1">(OFFSET($B$5,SUM($W$6:$W67),)-OFFSET($B$5,SUM($W$6:$W67)-1,))+(OFFSET($B$5,SUM($W$6:$W67)-2,)-OFFSET($B$5,SUM($W$6:$W67)-3,))+(OFFSET($B$5,SUM($W$6:$W67)-4,)-OFFSET($B$5,SUM($W$6:$W67)-5,))</f>
        <v>#VALUE!</v>
      </c>
      <c r="AF67" s="439" t="e">
        <f ca="1">(OFFSET($B$5,SUM($W$6:$W67),)-OFFSET($B$5,SUM($W$6:$W67)-1,))+(OFFSET($B$5,SUM($W$6:$W67)-2,)-OFFSET($B$5,SUM($W$6:$W67)-3,))</f>
        <v>#VALUE!</v>
      </c>
      <c r="AG67" s="439" t="e">
        <f ca="1">(OFFSET($B$5,SUM($W$6:$W67),)-OFFSET($B$5,SUM($W$6:$W67)-1,))</f>
        <v>#VALUE!</v>
      </c>
      <c r="AH67" s="439" t="e">
        <f ca="1">(OFFSET($B$5,SUM($W$6:$W67)-1,)-OFFSET($B$5,SUM($W$6:$W67)-2,))+(OFFSET($B$5,SUM($W$6:$W67)-3,)-OFFSET($B$5,SUM($W$6:$W67)-4,))+(OFFSET($B$5,SUM($W$6:$W67)-5,)-OFFSET($B$5,SUM($W$6:$W67)-6,))+(OFFSET($B$5,SUM($W$6:$W67)-7,)-OFFSET($B$5,SUM($W$6:$W67)-8,))+(OFFSET($B$5,SUM($W$6:$W67)-9,)-OFFSET($B$5,SUM($W$6:$W67)-10,))</f>
        <v>#REF!</v>
      </c>
      <c r="AI67" s="439" t="e">
        <f ca="1">(OFFSET($B$5,SUM($W$6:$W67)-1,)-OFFSET($B$5,SUM($W$6:$W67)-2,))+(OFFSET($B$5,SUM($W$6:$W67)-3,)-OFFSET($B$5,SUM($W$6:$W67)-4,))+(OFFSET($B$5,SUM($W$6:$W67)-5,)-OFFSET($B$5,SUM($W$6:$W67)-6,))+(OFFSET($B$5,SUM($W$6:$W67)-7,)-OFFSET($B$5,SUM($W$6:$W67)-8,))</f>
        <v>#REF!</v>
      </c>
      <c r="AJ67" s="439" t="e">
        <f ca="1">(OFFSET($B$5,SUM($W$6:$W67)-1,)-OFFSET($B$5,SUM($W$6:$W67)-2,))+(OFFSET($B$5,SUM($W$6:$W67)-3,)-OFFSET($B$5,SUM($W$6:$W67)-4,))+(OFFSET($B$5,SUM($W$6:$W67)-5,)-OFFSET($B$5,SUM($W$6:$W67)-6,))</f>
        <v>#REF!</v>
      </c>
      <c r="AK67" s="439">
        <f ca="1">(OFFSET($B$5,SUM($W$6:$W67)-1,)-OFFSET($B$5,SUM($W$6:$W67)-2,))+(OFFSET($B$5,SUM($W$6:$W67)-3,)-OFFSET($B$5,SUM($W$6:$W67)-4,))</f>
        <v>0</v>
      </c>
      <c r="AL67" s="439">
        <f ca="1">(OFFSET($B$5,SUM($W$6:$W67)-1,)-OFFSET($B$5,SUM($W$6:$W67)-2,))</f>
        <v>0</v>
      </c>
      <c r="AM67" s="433">
        <v>2.5416666666666701</v>
      </c>
    </row>
    <row r="68" spans="2:39" ht="15.75" thickBot="1" x14ac:dyDescent="0.3">
      <c r="F68" s="449">
        <v>44439</v>
      </c>
      <c r="G68" s="408">
        <f t="shared" si="27"/>
        <v>44439</v>
      </c>
      <c r="H68" s="384">
        <f t="shared" ref="H68:H72" si="44">X68</f>
        <v>0</v>
      </c>
      <c r="I68" s="384">
        <f ca="1">IFERROR(H68+T68+OFFSET($L$69,MATCH(F68,$K$70:$K$98,0),0)-$W$2,H68-$W$2)</f>
        <v>-0.33333333333333331</v>
      </c>
      <c r="J68" s="385">
        <f>H68</f>
        <v>0</v>
      </c>
      <c r="K68" s="509" t="s">
        <v>16</v>
      </c>
      <c r="L68" s="510"/>
      <c r="T68" s="438">
        <f t="shared" si="28"/>
        <v>0</v>
      </c>
      <c r="U68" s="439" t="b">
        <f t="shared" si="29"/>
        <v>0</v>
      </c>
      <c r="V68" s="440" t="b">
        <f t="shared" si="30"/>
        <v>0</v>
      </c>
      <c r="W68" s="437">
        <f t="shared" si="31"/>
        <v>0</v>
      </c>
      <c r="X68" s="439">
        <f t="shared" si="9"/>
        <v>0</v>
      </c>
      <c r="Y68" s="439">
        <f t="shared" si="10"/>
        <v>0</v>
      </c>
      <c r="Z68" s="439">
        <f t="shared" si="26"/>
        <v>0</v>
      </c>
      <c r="AA68" s="439" t="e">
        <f ca="1">(OFFSET($B$5,SUM($W$6:$W68),)-OFFSET($B$5,(SUM($W$6:$W68)-SUM($W68:$W68)+1),))</f>
        <v>#VALUE!</v>
      </c>
      <c r="AB68" s="439" t="e">
        <f ca="1">(OFFSET($B$5,SUM($W$6:$W68),)-OFFSET($B$5,SUM($W$6:$W68)-1,))+(OFFSET($B$5,SUM($W$6:$W68)-2,)-OFFSET($B$5,SUM($W$6:$W68)-3,))+(OFFSET($B$5,SUM($W$6:$W68)-4,)-OFFSET($B$5,SUM($W$6:$W68)-5,))+(OFFSET($B$5,SUM($W$6:$W68)-6,)-OFFSET($B$5,SUM($W$6:$W68)-7,))+(OFFSET($B$5,SUM($W$6:$W68)-8,)-OFFSET($B$5,SUM($W$6:$W68)-9,))+(OFFSET($B$5,SUM($W$6:$W68)-10,)-OFFSET($B$5,SUM($W$6:$W68)-11,))</f>
        <v>#VALUE!</v>
      </c>
      <c r="AC68" s="439" t="e">
        <f ca="1">(OFFSET($B$5,SUM($W$6:$W68),)-OFFSET($B$5,SUM($W$6:$W68)-1,))+(OFFSET($B$5,SUM($W$6:$W68)-2,)-OFFSET($B$5,SUM($W$6:$W68)-3,))+(OFFSET($B$5,SUM($W$6:$W68)-4,)-OFFSET($B$5,SUM($W$6:$W68)-5,))+(OFFSET($B$5,SUM($W$6:$W68)-6,)-OFFSET($B$5,SUM($W$6:$W68)-7,))+(OFFSET($B$5,SUM($W$6:$W68)-8,)-OFFSET($B$5,SUM($W$6:$W68)-9,))</f>
        <v>#VALUE!</v>
      </c>
      <c r="AD68" s="439" t="e">
        <f ca="1">(OFFSET($B$5,SUM($W$6:$W68),)-OFFSET($B$5,SUM($W$6:$W68)-1,))+(OFFSET($B$5,SUM($W$6:$W68)-2,)-OFFSET($B$5,SUM($W$6:$W68)-3,))+(OFFSET($B$5,SUM($W$6:$W68)-4,)-OFFSET($B$5,SUM($W$6:$W68)-5,))+(OFFSET($B$5,SUM($W$6:$W68)-6,)-OFFSET($B$5,SUM($W$6:$W68)-7,))</f>
        <v>#VALUE!</v>
      </c>
      <c r="AE68" s="439" t="e">
        <f ca="1">(OFFSET($B$5,SUM($W$6:$W68),)-OFFSET($B$5,SUM($W$6:$W68)-1,))+(OFFSET($B$5,SUM($W$6:$W68)-2,)-OFFSET($B$5,SUM($W$6:$W68)-3,))+(OFFSET($B$5,SUM($W$6:$W68)-4,)-OFFSET($B$5,SUM($W$6:$W68)-5,))</f>
        <v>#VALUE!</v>
      </c>
      <c r="AF68" s="439" t="e">
        <f ca="1">(OFFSET($B$5,SUM($W$6:$W68),)-OFFSET($B$5,SUM($W$6:$W68)-1,))+(OFFSET($B$5,SUM($W$6:$W68)-2,)-OFFSET($B$5,SUM($W$6:$W68)-3,))</f>
        <v>#VALUE!</v>
      </c>
      <c r="AG68" s="439" t="e">
        <f ca="1">(OFFSET($B$5,SUM($W$6:$W68),)-OFFSET($B$5,SUM($W$6:$W68)-1,))</f>
        <v>#VALUE!</v>
      </c>
      <c r="AH68" s="439" t="e">
        <f ca="1">(OFFSET($B$5,SUM($W$6:$W68)-1,)-OFFSET($B$5,SUM($W$6:$W68)-2,))+(OFFSET($B$5,SUM($W$6:$W68)-3,)-OFFSET($B$5,SUM($W$6:$W68)-4,))+(OFFSET($B$5,SUM($W$6:$W68)-5,)-OFFSET($B$5,SUM($W$6:$W68)-6,))+(OFFSET($B$5,SUM($W$6:$W68)-7,)-OFFSET($B$5,SUM($W$6:$W68)-8,))+(OFFSET($B$5,SUM($W$6:$W68)-9,)-OFFSET($B$5,SUM($W$6:$W68)-10,))</f>
        <v>#REF!</v>
      </c>
      <c r="AI68" s="439" t="e">
        <f ca="1">(OFFSET($B$5,SUM($W$6:$W68)-1,)-OFFSET($B$5,SUM($W$6:$W68)-2,))+(OFFSET($B$5,SUM($W$6:$W68)-3,)-OFFSET($B$5,SUM($W$6:$W68)-4,))+(OFFSET($B$5,SUM($W$6:$W68)-5,)-OFFSET($B$5,SUM($W$6:$W68)-6,))+(OFFSET($B$5,SUM($W$6:$W68)-7,)-OFFSET($B$5,SUM($W$6:$W68)-8,))</f>
        <v>#REF!</v>
      </c>
      <c r="AJ68" s="439" t="e">
        <f ca="1">(OFFSET($B$5,SUM($W$6:$W68)-1,)-OFFSET($B$5,SUM($W$6:$W68)-2,))+(OFFSET($B$5,SUM($W$6:$W68)-3,)-OFFSET($B$5,SUM($W$6:$W68)-4,))+(OFFSET($B$5,SUM($W$6:$W68)-5,)-OFFSET($B$5,SUM($W$6:$W68)-6,))</f>
        <v>#REF!</v>
      </c>
      <c r="AK68" s="439">
        <f ca="1">(OFFSET($B$5,SUM($W$6:$W68)-1,)-OFFSET($B$5,SUM($W$6:$W68)-2,))+(OFFSET($B$5,SUM($W$6:$W68)-3,)-OFFSET($B$5,SUM($W$6:$W68)-4,))</f>
        <v>0</v>
      </c>
      <c r="AL68" s="439">
        <f ca="1">(OFFSET($B$5,SUM($W$6:$W68)-1,)-OFFSET($B$5,SUM($W$6:$W68)-2,))</f>
        <v>0</v>
      </c>
      <c r="AM68" s="433">
        <v>2.5833333333333299</v>
      </c>
    </row>
    <row r="69" spans="2:39" x14ac:dyDescent="0.25">
      <c r="F69" s="372">
        <v>44440</v>
      </c>
      <c r="G69" s="370">
        <f t="shared" si="27"/>
        <v>44440</v>
      </c>
      <c r="H69" s="386">
        <f t="shared" si="44"/>
        <v>0</v>
      </c>
      <c r="I69" s="386">
        <f t="shared" ref="I69:I72" ca="1" si="45">IFERROR(H69+T69+OFFSET($L$69,MATCH(F69,$K$70:$K$98,0),0)-$W$2,H69-$W$2)</f>
        <v>-0.33333333333333331</v>
      </c>
      <c r="J69" s="386">
        <f ca="1">I69+J68</f>
        <v>-0.33333333333333331</v>
      </c>
      <c r="K69" s="400" t="s">
        <v>14</v>
      </c>
      <c r="L69" s="392" t="s">
        <v>15</v>
      </c>
      <c r="T69" s="438">
        <f t="shared" si="28"/>
        <v>0</v>
      </c>
      <c r="U69" s="439" t="b">
        <f t="shared" si="29"/>
        <v>0</v>
      </c>
      <c r="V69" s="440" t="b">
        <f t="shared" si="30"/>
        <v>0</v>
      </c>
      <c r="W69" s="437">
        <f t="shared" si="31"/>
        <v>0</v>
      </c>
      <c r="X69" s="439">
        <f t="shared" si="9"/>
        <v>0</v>
      </c>
      <c r="Y69" s="439">
        <f t="shared" si="10"/>
        <v>0</v>
      </c>
      <c r="Z69" s="439">
        <f t="shared" si="26"/>
        <v>0</v>
      </c>
      <c r="AA69" s="439" t="e">
        <f ca="1">(OFFSET($B$5,SUM($W$6:$W69),)-OFFSET($B$5,(SUM($W$6:$W69)-SUM($W69:$W69)+1),))</f>
        <v>#VALUE!</v>
      </c>
      <c r="AB69" s="439" t="e">
        <f ca="1">(OFFSET($B$5,SUM($W$6:$W69),)-OFFSET($B$5,SUM($W$6:$W69)-1,))+(OFFSET($B$5,SUM($W$6:$W69)-2,)-OFFSET($B$5,SUM($W$6:$W69)-3,))+(OFFSET($B$5,SUM($W$6:$W69)-4,)-OFFSET($B$5,SUM($W$6:$W69)-5,))+(OFFSET($B$5,SUM($W$6:$W69)-6,)-OFFSET($B$5,SUM($W$6:$W69)-7,))+(OFFSET($B$5,SUM($W$6:$W69)-8,)-OFFSET($B$5,SUM($W$6:$W69)-9,))+(OFFSET($B$5,SUM($W$6:$W69)-10,)-OFFSET($B$5,SUM($W$6:$W69)-11,))</f>
        <v>#VALUE!</v>
      </c>
      <c r="AC69" s="439" t="e">
        <f ca="1">(OFFSET($B$5,SUM($W$6:$W69),)-OFFSET($B$5,SUM($W$6:$W69)-1,))+(OFFSET($B$5,SUM($W$6:$W69)-2,)-OFFSET($B$5,SUM($W$6:$W69)-3,))+(OFFSET($B$5,SUM($W$6:$W69)-4,)-OFFSET($B$5,SUM($W$6:$W69)-5,))+(OFFSET($B$5,SUM($W$6:$W69)-6,)-OFFSET($B$5,SUM($W$6:$W69)-7,))+(OFFSET($B$5,SUM($W$6:$W69)-8,)-OFFSET($B$5,SUM($W$6:$W69)-9,))</f>
        <v>#VALUE!</v>
      </c>
      <c r="AD69" s="439" t="e">
        <f ca="1">(OFFSET($B$5,SUM($W$6:$W69),)-OFFSET($B$5,SUM($W$6:$W69)-1,))+(OFFSET($B$5,SUM($W$6:$W69)-2,)-OFFSET($B$5,SUM($W$6:$W69)-3,))+(OFFSET($B$5,SUM($W$6:$W69)-4,)-OFFSET($B$5,SUM($W$6:$W69)-5,))+(OFFSET($B$5,SUM($W$6:$W69)-6,)-OFFSET($B$5,SUM($W$6:$W69)-7,))</f>
        <v>#VALUE!</v>
      </c>
      <c r="AE69" s="439" t="e">
        <f ca="1">(OFFSET($B$5,SUM($W$6:$W69),)-OFFSET($B$5,SUM($W$6:$W69)-1,))+(OFFSET($B$5,SUM($W$6:$W69)-2,)-OFFSET($B$5,SUM($W$6:$W69)-3,))+(OFFSET($B$5,SUM($W$6:$W69)-4,)-OFFSET($B$5,SUM($W$6:$W69)-5,))</f>
        <v>#VALUE!</v>
      </c>
      <c r="AF69" s="439" t="e">
        <f ca="1">(OFFSET($B$5,SUM($W$6:$W69),)-OFFSET($B$5,SUM($W$6:$W69)-1,))+(OFFSET($B$5,SUM($W$6:$W69)-2,)-OFFSET($B$5,SUM($W$6:$W69)-3,))</f>
        <v>#VALUE!</v>
      </c>
      <c r="AG69" s="439" t="e">
        <f ca="1">(OFFSET($B$5,SUM($W$6:$W69),)-OFFSET($B$5,SUM($W$6:$W69)-1,))</f>
        <v>#VALUE!</v>
      </c>
      <c r="AH69" s="439" t="e">
        <f ca="1">(OFFSET($B$5,SUM($W$6:$W69)-1,)-OFFSET($B$5,SUM($W$6:$W69)-2,))+(OFFSET($B$5,SUM($W$6:$W69)-3,)-OFFSET($B$5,SUM($W$6:$W69)-4,))+(OFFSET($B$5,SUM($W$6:$W69)-5,)-OFFSET($B$5,SUM($W$6:$W69)-6,))+(OFFSET($B$5,SUM($W$6:$W69)-7,)-OFFSET($B$5,SUM($W$6:$W69)-8,))+(OFFSET($B$5,SUM($W$6:$W69)-9,)-OFFSET($B$5,SUM($W$6:$W69)-10,))</f>
        <v>#REF!</v>
      </c>
      <c r="AI69" s="439" t="e">
        <f ca="1">(OFFSET($B$5,SUM($W$6:$W69)-1,)-OFFSET($B$5,SUM($W$6:$W69)-2,))+(OFFSET($B$5,SUM($W$6:$W69)-3,)-OFFSET($B$5,SUM($W$6:$W69)-4,))+(OFFSET($B$5,SUM($W$6:$W69)-5,)-OFFSET($B$5,SUM($W$6:$W69)-6,))+(OFFSET($B$5,SUM($W$6:$W69)-7,)-OFFSET($B$5,SUM($W$6:$W69)-8,))</f>
        <v>#REF!</v>
      </c>
      <c r="AJ69" s="439" t="e">
        <f ca="1">(OFFSET($B$5,SUM($W$6:$W69)-1,)-OFFSET($B$5,SUM($W$6:$W69)-2,))+(OFFSET($B$5,SUM($W$6:$W69)-3,)-OFFSET($B$5,SUM($W$6:$W69)-4,))+(OFFSET($B$5,SUM($W$6:$W69)-5,)-OFFSET($B$5,SUM($W$6:$W69)-6,))</f>
        <v>#REF!</v>
      </c>
      <c r="AK69" s="439">
        <f ca="1">(OFFSET($B$5,SUM($W$6:$W69)-1,)-OFFSET($B$5,SUM($W$6:$W69)-2,))+(OFFSET($B$5,SUM($W$6:$W69)-3,)-OFFSET($B$5,SUM($W$6:$W69)-4,))</f>
        <v>0</v>
      </c>
      <c r="AL69" s="439">
        <f ca="1">(OFFSET($B$5,SUM($W$6:$W69)-1,)-OFFSET($B$5,SUM($W$6:$W69)-2,))</f>
        <v>0</v>
      </c>
      <c r="AM69" s="433">
        <v>2.625</v>
      </c>
    </row>
    <row r="70" spans="2:39" x14ac:dyDescent="0.25">
      <c r="F70" s="372">
        <v>44441</v>
      </c>
      <c r="G70" s="370">
        <f t="shared" ref="G70:G102" si="46">F70</f>
        <v>44441</v>
      </c>
      <c r="H70" s="386">
        <f t="shared" si="44"/>
        <v>0</v>
      </c>
      <c r="I70" s="386">
        <f t="shared" ca="1" si="45"/>
        <v>-0.33333333333333331</v>
      </c>
      <c r="J70" s="386">
        <f t="shared" ref="J70:J72" ca="1" si="47">I70+J69</f>
        <v>-0.66666666666666663</v>
      </c>
      <c r="K70" s="163"/>
      <c r="L70" s="59"/>
      <c r="T70" s="438">
        <f t="shared" ref="T70:T101" si="48">IF(AND(X70&lt;$V$2,X70&gt;$U$2),U70,IF(X70&gt;$V$2,V70,$U$1))</f>
        <v>0</v>
      </c>
      <c r="U70" s="439" t="b">
        <f t="shared" ref="U70:U101" si="49">IF(AND(X70&lt;$V$2,X70&gt;$U$2),IF(Y70&lt;$V$1,$V$1,$U$1))</f>
        <v>0</v>
      </c>
      <c r="V70" s="440" t="b">
        <f t="shared" ref="V70:V101" si="50">IF(X70&gt;$V$2,IF(Y70&lt;$W$1,$W$1,$U$1))</f>
        <v>0</v>
      </c>
      <c r="W70" s="437">
        <f t="shared" ref="W70:W101" si="51">(COUNTIF($C$6:$C$9999,F70))</f>
        <v>0</v>
      </c>
      <c r="X70" s="439">
        <f t="shared" si="9"/>
        <v>0</v>
      </c>
      <c r="Y70" s="439">
        <f t="shared" si="10"/>
        <v>0</v>
      </c>
      <c r="Z70" s="439">
        <f t="shared" si="26"/>
        <v>0</v>
      </c>
      <c r="AA70" s="439" t="e">
        <f ca="1">(OFFSET($B$5,SUM($W$6:$W70),)-OFFSET($B$5,(SUM($W$6:$W70)-SUM($W70:$W70)+1),))</f>
        <v>#VALUE!</v>
      </c>
      <c r="AB70" s="439" t="e">
        <f ca="1">(OFFSET($B$5,SUM($W$6:$W70),)-OFFSET($B$5,SUM($W$6:$W70)-1,))+(OFFSET($B$5,SUM($W$6:$W70)-2,)-OFFSET($B$5,SUM($W$6:$W70)-3,))+(OFFSET($B$5,SUM($W$6:$W70)-4,)-OFFSET($B$5,SUM($W$6:$W70)-5,))+(OFFSET($B$5,SUM($W$6:$W70)-6,)-OFFSET($B$5,SUM($W$6:$W70)-7,))+(OFFSET($B$5,SUM($W$6:$W70)-8,)-OFFSET($B$5,SUM($W$6:$W70)-9,))+(OFFSET($B$5,SUM($W$6:$W70)-10,)-OFFSET($B$5,SUM($W$6:$W70)-11,))</f>
        <v>#VALUE!</v>
      </c>
      <c r="AC70" s="439" t="e">
        <f ca="1">(OFFSET($B$5,SUM($W$6:$W70),)-OFFSET($B$5,SUM($W$6:$W70)-1,))+(OFFSET($B$5,SUM($W$6:$W70)-2,)-OFFSET($B$5,SUM($W$6:$W70)-3,))+(OFFSET($B$5,SUM($W$6:$W70)-4,)-OFFSET($B$5,SUM($W$6:$W70)-5,))+(OFFSET($B$5,SUM($W$6:$W70)-6,)-OFFSET($B$5,SUM($W$6:$W70)-7,))+(OFFSET($B$5,SUM($W$6:$W70)-8,)-OFFSET($B$5,SUM($W$6:$W70)-9,))</f>
        <v>#VALUE!</v>
      </c>
      <c r="AD70" s="439" t="e">
        <f ca="1">(OFFSET($B$5,SUM($W$6:$W70),)-OFFSET($B$5,SUM($W$6:$W70)-1,))+(OFFSET($B$5,SUM($W$6:$W70)-2,)-OFFSET($B$5,SUM($W$6:$W70)-3,))+(OFFSET($B$5,SUM($W$6:$W70)-4,)-OFFSET($B$5,SUM($W$6:$W70)-5,))+(OFFSET($B$5,SUM($W$6:$W70)-6,)-OFFSET($B$5,SUM($W$6:$W70)-7,))</f>
        <v>#VALUE!</v>
      </c>
      <c r="AE70" s="439" t="e">
        <f ca="1">(OFFSET($B$5,SUM($W$6:$W70),)-OFFSET($B$5,SUM($W$6:$W70)-1,))+(OFFSET($B$5,SUM($W$6:$W70)-2,)-OFFSET($B$5,SUM($W$6:$W70)-3,))+(OFFSET($B$5,SUM($W$6:$W70)-4,)-OFFSET($B$5,SUM($W$6:$W70)-5,))</f>
        <v>#VALUE!</v>
      </c>
      <c r="AF70" s="439" t="e">
        <f ca="1">(OFFSET($B$5,SUM($W$6:$W70),)-OFFSET($B$5,SUM($W$6:$W70)-1,))+(OFFSET($B$5,SUM($W$6:$W70)-2,)-OFFSET($B$5,SUM($W$6:$W70)-3,))</f>
        <v>#VALUE!</v>
      </c>
      <c r="AG70" s="439" t="e">
        <f ca="1">(OFFSET($B$5,SUM($W$6:$W70),)-OFFSET($B$5,SUM($W$6:$W70)-1,))</f>
        <v>#VALUE!</v>
      </c>
      <c r="AH70" s="439" t="e">
        <f ca="1">(OFFSET($B$5,SUM($W$6:$W70)-1,)-OFFSET($B$5,SUM($W$6:$W70)-2,))+(OFFSET($B$5,SUM($W$6:$W70)-3,)-OFFSET($B$5,SUM($W$6:$W70)-4,))+(OFFSET($B$5,SUM($W$6:$W70)-5,)-OFFSET($B$5,SUM($W$6:$W70)-6,))+(OFFSET($B$5,SUM($W$6:$W70)-7,)-OFFSET($B$5,SUM($W$6:$W70)-8,))+(OFFSET($B$5,SUM($W$6:$W70)-9,)-OFFSET($B$5,SUM($W$6:$W70)-10,))</f>
        <v>#REF!</v>
      </c>
      <c r="AI70" s="439" t="e">
        <f ca="1">(OFFSET($B$5,SUM($W$6:$W70)-1,)-OFFSET($B$5,SUM($W$6:$W70)-2,))+(OFFSET($B$5,SUM($W$6:$W70)-3,)-OFFSET($B$5,SUM($W$6:$W70)-4,))+(OFFSET($B$5,SUM($W$6:$W70)-5,)-OFFSET($B$5,SUM($W$6:$W70)-6,))+(OFFSET($B$5,SUM($W$6:$W70)-7,)-OFFSET($B$5,SUM($W$6:$W70)-8,))</f>
        <v>#REF!</v>
      </c>
      <c r="AJ70" s="439" t="e">
        <f ca="1">(OFFSET($B$5,SUM($W$6:$W70)-1,)-OFFSET($B$5,SUM($W$6:$W70)-2,))+(OFFSET($B$5,SUM($W$6:$W70)-3,)-OFFSET($B$5,SUM($W$6:$W70)-4,))+(OFFSET($B$5,SUM($W$6:$W70)-5,)-OFFSET($B$5,SUM($W$6:$W70)-6,))</f>
        <v>#REF!</v>
      </c>
      <c r="AK70" s="439">
        <f ca="1">(OFFSET($B$5,SUM($W$6:$W70)-1,)-OFFSET($B$5,SUM($W$6:$W70)-2,))+(OFFSET($B$5,SUM($W$6:$W70)-3,)-OFFSET($B$5,SUM($W$6:$W70)-4,))</f>
        <v>0</v>
      </c>
      <c r="AL70" s="439">
        <f ca="1">(OFFSET($B$5,SUM($W$6:$W70)-1,)-OFFSET($B$5,SUM($W$6:$W70)-2,))</f>
        <v>0</v>
      </c>
      <c r="AM70" s="433">
        <v>2.6666666666666701</v>
      </c>
    </row>
    <row r="71" spans="2:39" x14ac:dyDescent="0.25">
      <c r="F71" s="372">
        <v>44442</v>
      </c>
      <c r="G71" s="370">
        <f t="shared" si="46"/>
        <v>44442</v>
      </c>
      <c r="H71" s="386">
        <f t="shared" si="44"/>
        <v>0</v>
      </c>
      <c r="I71" s="386">
        <f t="shared" ca="1" si="45"/>
        <v>-0.33333333333333331</v>
      </c>
      <c r="J71" s="386">
        <f t="shared" ca="1" si="47"/>
        <v>-1</v>
      </c>
      <c r="K71" s="163"/>
      <c r="L71" s="59"/>
      <c r="T71" s="438">
        <f t="shared" si="48"/>
        <v>0</v>
      </c>
      <c r="U71" s="439" t="b">
        <f t="shared" si="49"/>
        <v>0</v>
      </c>
      <c r="V71" s="440" t="b">
        <f t="shared" si="50"/>
        <v>0</v>
      </c>
      <c r="W71" s="437">
        <f t="shared" si="51"/>
        <v>0</v>
      </c>
      <c r="X71" s="439">
        <f t="shared" ref="X71:X134" si="52">IF(W71=12,AB71,IF(W71=10,AC71,IF(W71=8,AD71,IF(W71=6,AE71,IF(W71=4,AF71,IF(W71=2,AG71,$U$1))))))</f>
        <v>0</v>
      </c>
      <c r="Y71" s="439">
        <f t="shared" ref="Y71:Y134" si="53">IF(W71=12,AH71,IF(W71=10,AI71,IF(W71=8,AJ71,IF(W71=6,AK71,IF(W71=4,AL71,IF(W71=2,AM71,$U$1))))))</f>
        <v>0</v>
      </c>
      <c r="Z71" s="439">
        <f t="shared" si="26"/>
        <v>0</v>
      </c>
      <c r="AA71" s="439" t="e">
        <f ca="1">(OFFSET($B$5,SUM($W$6:$W71),)-OFFSET($B$5,(SUM($W$6:$W71)-SUM($W71:$W71)+1),))</f>
        <v>#VALUE!</v>
      </c>
      <c r="AB71" s="439" t="e">
        <f ca="1">(OFFSET($B$5,SUM($W$6:$W71),)-OFFSET($B$5,SUM($W$6:$W71)-1,))+(OFFSET($B$5,SUM($W$6:$W71)-2,)-OFFSET($B$5,SUM($W$6:$W71)-3,))+(OFFSET($B$5,SUM($W$6:$W71)-4,)-OFFSET($B$5,SUM($W$6:$W71)-5,))+(OFFSET($B$5,SUM($W$6:$W71)-6,)-OFFSET($B$5,SUM($W$6:$W71)-7,))+(OFFSET($B$5,SUM($W$6:$W71)-8,)-OFFSET($B$5,SUM($W$6:$W71)-9,))+(OFFSET($B$5,SUM($W$6:$W71)-10,)-OFFSET($B$5,SUM($W$6:$W71)-11,))</f>
        <v>#VALUE!</v>
      </c>
      <c r="AC71" s="439" t="e">
        <f ca="1">(OFFSET($B$5,SUM($W$6:$W71),)-OFFSET($B$5,SUM($W$6:$W71)-1,))+(OFFSET($B$5,SUM($W$6:$W71)-2,)-OFFSET($B$5,SUM($W$6:$W71)-3,))+(OFFSET($B$5,SUM($W$6:$W71)-4,)-OFFSET($B$5,SUM($W$6:$W71)-5,))+(OFFSET($B$5,SUM($W$6:$W71)-6,)-OFFSET($B$5,SUM($W$6:$W71)-7,))+(OFFSET($B$5,SUM($W$6:$W71)-8,)-OFFSET($B$5,SUM($W$6:$W71)-9,))</f>
        <v>#VALUE!</v>
      </c>
      <c r="AD71" s="439" t="e">
        <f ca="1">(OFFSET($B$5,SUM($W$6:$W71),)-OFFSET($B$5,SUM($W$6:$W71)-1,))+(OFFSET($B$5,SUM($W$6:$W71)-2,)-OFFSET($B$5,SUM($W$6:$W71)-3,))+(OFFSET($B$5,SUM($W$6:$W71)-4,)-OFFSET($B$5,SUM($W$6:$W71)-5,))+(OFFSET($B$5,SUM($W$6:$W71)-6,)-OFFSET($B$5,SUM($W$6:$W71)-7,))</f>
        <v>#VALUE!</v>
      </c>
      <c r="AE71" s="439" t="e">
        <f ca="1">(OFFSET($B$5,SUM($W$6:$W71),)-OFFSET($B$5,SUM($W$6:$W71)-1,))+(OFFSET($B$5,SUM($W$6:$W71)-2,)-OFFSET($B$5,SUM($W$6:$W71)-3,))+(OFFSET($B$5,SUM($W$6:$W71)-4,)-OFFSET($B$5,SUM($W$6:$W71)-5,))</f>
        <v>#VALUE!</v>
      </c>
      <c r="AF71" s="439" t="e">
        <f ca="1">(OFFSET($B$5,SUM($W$6:$W71),)-OFFSET($B$5,SUM($W$6:$W71)-1,))+(OFFSET($B$5,SUM($W$6:$W71)-2,)-OFFSET($B$5,SUM($W$6:$W71)-3,))</f>
        <v>#VALUE!</v>
      </c>
      <c r="AG71" s="439" t="e">
        <f ca="1">(OFFSET($B$5,SUM($W$6:$W71),)-OFFSET($B$5,SUM($W$6:$W71)-1,))</f>
        <v>#VALUE!</v>
      </c>
      <c r="AH71" s="439" t="e">
        <f ca="1">(OFFSET($B$5,SUM($W$6:$W71)-1,)-OFFSET($B$5,SUM($W$6:$W71)-2,))+(OFFSET($B$5,SUM($W$6:$W71)-3,)-OFFSET($B$5,SUM($W$6:$W71)-4,))+(OFFSET($B$5,SUM($W$6:$W71)-5,)-OFFSET($B$5,SUM($W$6:$W71)-6,))+(OFFSET($B$5,SUM($W$6:$W71)-7,)-OFFSET($B$5,SUM($W$6:$W71)-8,))+(OFFSET($B$5,SUM($W$6:$W71)-9,)-OFFSET($B$5,SUM($W$6:$W71)-10,))</f>
        <v>#REF!</v>
      </c>
      <c r="AI71" s="439" t="e">
        <f ca="1">(OFFSET($B$5,SUM($W$6:$W71)-1,)-OFFSET($B$5,SUM($W$6:$W71)-2,))+(OFFSET($B$5,SUM($W$6:$W71)-3,)-OFFSET($B$5,SUM($W$6:$W71)-4,))+(OFFSET($B$5,SUM($W$6:$W71)-5,)-OFFSET($B$5,SUM($W$6:$W71)-6,))+(OFFSET($B$5,SUM($W$6:$W71)-7,)-OFFSET($B$5,SUM($W$6:$W71)-8,))</f>
        <v>#REF!</v>
      </c>
      <c r="AJ71" s="439" t="e">
        <f ca="1">(OFFSET($B$5,SUM($W$6:$W71)-1,)-OFFSET($B$5,SUM($W$6:$W71)-2,))+(OFFSET($B$5,SUM($W$6:$W71)-3,)-OFFSET($B$5,SUM($W$6:$W71)-4,))+(OFFSET($B$5,SUM($W$6:$W71)-5,)-OFFSET($B$5,SUM($W$6:$W71)-6,))</f>
        <v>#REF!</v>
      </c>
      <c r="AK71" s="439">
        <f ca="1">(OFFSET($B$5,SUM($W$6:$W71)-1,)-OFFSET($B$5,SUM($W$6:$W71)-2,))+(OFFSET($B$5,SUM($W$6:$W71)-3,)-OFFSET($B$5,SUM($W$6:$W71)-4,))</f>
        <v>0</v>
      </c>
      <c r="AL71" s="439">
        <f ca="1">(OFFSET($B$5,SUM($W$6:$W71)-1,)-OFFSET($B$5,SUM($W$6:$W71)-2,))</f>
        <v>0</v>
      </c>
      <c r="AM71" s="433">
        <v>2.7083333333333299</v>
      </c>
    </row>
    <row r="72" spans="2:39" x14ac:dyDescent="0.25">
      <c r="F72" s="372">
        <v>44443</v>
      </c>
      <c r="G72" s="370">
        <f t="shared" si="46"/>
        <v>44443</v>
      </c>
      <c r="H72" s="386">
        <f t="shared" si="44"/>
        <v>0</v>
      </c>
      <c r="I72" s="386">
        <f t="shared" ca="1" si="45"/>
        <v>-0.33333333333333331</v>
      </c>
      <c r="J72" s="386">
        <f t="shared" ca="1" si="47"/>
        <v>-1.3333333333333333</v>
      </c>
      <c r="K72" s="163"/>
      <c r="L72" s="59"/>
      <c r="T72" s="438">
        <f t="shared" si="48"/>
        <v>0</v>
      </c>
      <c r="U72" s="439" t="b">
        <f t="shared" si="49"/>
        <v>0</v>
      </c>
      <c r="V72" s="440" t="b">
        <f t="shared" si="50"/>
        <v>0</v>
      </c>
      <c r="W72" s="437">
        <f t="shared" si="51"/>
        <v>0</v>
      </c>
      <c r="X72" s="439">
        <f t="shared" si="52"/>
        <v>0</v>
      </c>
      <c r="Y72" s="439">
        <f t="shared" si="53"/>
        <v>0</v>
      </c>
      <c r="Z72" s="439">
        <f t="shared" si="26"/>
        <v>0</v>
      </c>
      <c r="AA72" s="439" t="e">
        <f ca="1">(OFFSET($B$5,SUM($W$6:$W72),)-OFFSET($B$5,(SUM($W$6:$W72)-SUM($W72:$W72)+1),))</f>
        <v>#VALUE!</v>
      </c>
      <c r="AB72" s="439" t="e">
        <f ca="1">(OFFSET($B$5,SUM($W$6:$W72),)-OFFSET($B$5,SUM($W$6:$W72)-1,))+(OFFSET($B$5,SUM($W$6:$W72)-2,)-OFFSET($B$5,SUM($W$6:$W72)-3,))+(OFFSET($B$5,SUM($W$6:$W72)-4,)-OFFSET($B$5,SUM($W$6:$W72)-5,))+(OFFSET($B$5,SUM($W$6:$W72)-6,)-OFFSET($B$5,SUM($W$6:$W72)-7,))+(OFFSET($B$5,SUM($W$6:$W72)-8,)-OFFSET($B$5,SUM($W$6:$W72)-9,))+(OFFSET($B$5,SUM($W$6:$W72)-10,)-OFFSET($B$5,SUM($W$6:$W72)-11,))</f>
        <v>#VALUE!</v>
      </c>
      <c r="AC72" s="439" t="e">
        <f ca="1">(OFFSET($B$5,SUM($W$6:$W72),)-OFFSET($B$5,SUM($W$6:$W72)-1,))+(OFFSET($B$5,SUM($W$6:$W72)-2,)-OFFSET($B$5,SUM($W$6:$W72)-3,))+(OFFSET($B$5,SUM($W$6:$W72)-4,)-OFFSET($B$5,SUM($W$6:$W72)-5,))+(OFFSET($B$5,SUM($W$6:$W72)-6,)-OFFSET($B$5,SUM($W$6:$W72)-7,))+(OFFSET($B$5,SUM($W$6:$W72)-8,)-OFFSET($B$5,SUM($W$6:$W72)-9,))</f>
        <v>#VALUE!</v>
      </c>
      <c r="AD72" s="439" t="e">
        <f ca="1">(OFFSET($B$5,SUM($W$6:$W72),)-OFFSET($B$5,SUM($W$6:$W72)-1,))+(OFFSET($B$5,SUM($W$6:$W72)-2,)-OFFSET($B$5,SUM($W$6:$W72)-3,))+(OFFSET($B$5,SUM($W$6:$W72)-4,)-OFFSET($B$5,SUM($W$6:$W72)-5,))+(OFFSET($B$5,SUM($W$6:$W72)-6,)-OFFSET($B$5,SUM($W$6:$W72)-7,))</f>
        <v>#VALUE!</v>
      </c>
      <c r="AE72" s="439" t="e">
        <f ca="1">(OFFSET($B$5,SUM($W$6:$W72),)-OFFSET($B$5,SUM($W$6:$W72)-1,))+(OFFSET($B$5,SUM($W$6:$W72)-2,)-OFFSET($B$5,SUM($W$6:$W72)-3,))+(OFFSET($B$5,SUM($W$6:$W72)-4,)-OFFSET($B$5,SUM($W$6:$W72)-5,))</f>
        <v>#VALUE!</v>
      </c>
      <c r="AF72" s="439" t="e">
        <f ca="1">(OFFSET($B$5,SUM($W$6:$W72),)-OFFSET($B$5,SUM($W$6:$W72)-1,))+(OFFSET($B$5,SUM($W$6:$W72)-2,)-OFFSET($B$5,SUM($W$6:$W72)-3,))</f>
        <v>#VALUE!</v>
      </c>
      <c r="AG72" s="439" t="e">
        <f ca="1">(OFFSET($B$5,SUM($W$6:$W72),)-OFFSET($B$5,SUM($W$6:$W72)-1,))</f>
        <v>#VALUE!</v>
      </c>
      <c r="AH72" s="439" t="e">
        <f ca="1">(OFFSET($B$5,SUM($W$6:$W72)-1,)-OFFSET($B$5,SUM($W$6:$W72)-2,))+(OFFSET($B$5,SUM($W$6:$W72)-3,)-OFFSET($B$5,SUM($W$6:$W72)-4,))+(OFFSET($B$5,SUM($W$6:$W72)-5,)-OFFSET($B$5,SUM($W$6:$W72)-6,))+(OFFSET($B$5,SUM($W$6:$W72)-7,)-OFFSET($B$5,SUM($W$6:$W72)-8,))+(OFFSET($B$5,SUM($W$6:$W72)-9,)-OFFSET($B$5,SUM($W$6:$W72)-10,))</f>
        <v>#REF!</v>
      </c>
      <c r="AI72" s="439" t="e">
        <f ca="1">(OFFSET($B$5,SUM($W$6:$W72)-1,)-OFFSET($B$5,SUM($W$6:$W72)-2,))+(OFFSET($B$5,SUM($W$6:$W72)-3,)-OFFSET($B$5,SUM($W$6:$W72)-4,))+(OFFSET($B$5,SUM($W$6:$W72)-5,)-OFFSET($B$5,SUM($W$6:$W72)-6,))+(OFFSET($B$5,SUM($W$6:$W72)-7,)-OFFSET($B$5,SUM($W$6:$W72)-8,))</f>
        <v>#REF!</v>
      </c>
      <c r="AJ72" s="439" t="e">
        <f ca="1">(OFFSET($B$5,SUM($W$6:$W72)-1,)-OFFSET($B$5,SUM($W$6:$W72)-2,))+(OFFSET($B$5,SUM($W$6:$W72)-3,)-OFFSET($B$5,SUM($W$6:$W72)-4,))+(OFFSET($B$5,SUM($W$6:$W72)-5,)-OFFSET($B$5,SUM($W$6:$W72)-6,))</f>
        <v>#REF!</v>
      </c>
      <c r="AK72" s="439">
        <f ca="1">(OFFSET($B$5,SUM($W$6:$W72)-1,)-OFFSET($B$5,SUM($W$6:$W72)-2,))+(OFFSET($B$5,SUM($W$6:$W72)-3,)-OFFSET($B$5,SUM($W$6:$W72)-4,))</f>
        <v>0</v>
      </c>
      <c r="AL72" s="439">
        <f ca="1">(OFFSET($B$5,SUM($W$6:$W72)-1,)-OFFSET($B$5,SUM($W$6:$W72)-2,))</f>
        <v>0</v>
      </c>
      <c r="AM72" s="433">
        <v>2.75</v>
      </c>
    </row>
    <row r="73" spans="2:39" x14ac:dyDescent="0.25">
      <c r="F73" s="372">
        <v>44444</v>
      </c>
      <c r="G73" s="404">
        <f t="shared" si="46"/>
        <v>44444</v>
      </c>
      <c r="H73" s="389"/>
      <c r="I73" s="389"/>
      <c r="J73" s="390"/>
      <c r="K73" s="163"/>
      <c r="L73" s="59"/>
      <c r="T73" s="438">
        <f t="shared" si="48"/>
        <v>0</v>
      </c>
      <c r="U73" s="439" t="b">
        <f t="shared" si="49"/>
        <v>0</v>
      </c>
      <c r="V73" s="440" t="b">
        <f t="shared" si="50"/>
        <v>0</v>
      </c>
      <c r="W73" s="437">
        <f t="shared" si="51"/>
        <v>0</v>
      </c>
      <c r="X73" s="439">
        <f t="shared" si="52"/>
        <v>0</v>
      </c>
      <c r="Y73" s="439">
        <f t="shared" si="53"/>
        <v>0</v>
      </c>
      <c r="Z73" s="439">
        <f t="shared" si="26"/>
        <v>0</v>
      </c>
      <c r="AA73" s="439" t="e">
        <f ca="1">(OFFSET($B$5,SUM($W$6:$W73),)-OFFSET($B$5,(SUM($W$6:$W73)-SUM($W73:$W73)+1),))</f>
        <v>#VALUE!</v>
      </c>
      <c r="AB73" s="439" t="e">
        <f ca="1">(OFFSET($B$5,SUM($W$6:$W73),)-OFFSET($B$5,SUM($W$6:$W73)-1,))+(OFFSET($B$5,SUM($W$6:$W73)-2,)-OFFSET($B$5,SUM($W$6:$W73)-3,))+(OFFSET($B$5,SUM($W$6:$W73)-4,)-OFFSET($B$5,SUM($W$6:$W73)-5,))+(OFFSET($B$5,SUM($W$6:$W73)-6,)-OFFSET($B$5,SUM($W$6:$W73)-7,))+(OFFSET($B$5,SUM($W$6:$W73)-8,)-OFFSET($B$5,SUM($W$6:$W73)-9,))+(OFFSET($B$5,SUM($W$6:$W73)-10,)-OFFSET($B$5,SUM($W$6:$W73)-11,))</f>
        <v>#VALUE!</v>
      </c>
      <c r="AC73" s="439" t="e">
        <f ca="1">(OFFSET($B$5,SUM($W$6:$W73),)-OFFSET($B$5,SUM($W$6:$W73)-1,))+(OFFSET($B$5,SUM($W$6:$W73)-2,)-OFFSET($B$5,SUM($W$6:$W73)-3,))+(OFFSET($B$5,SUM($W$6:$W73)-4,)-OFFSET($B$5,SUM($W$6:$W73)-5,))+(OFFSET($B$5,SUM($W$6:$W73)-6,)-OFFSET($B$5,SUM($W$6:$W73)-7,))+(OFFSET($B$5,SUM($W$6:$W73)-8,)-OFFSET($B$5,SUM($W$6:$W73)-9,))</f>
        <v>#VALUE!</v>
      </c>
      <c r="AD73" s="439" t="e">
        <f ca="1">(OFFSET($B$5,SUM($W$6:$W73),)-OFFSET($B$5,SUM($W$6:$W73)-1,))+(OFFSET($B$5,SUM($W$6:$W73)-2,)-OFFSET($B$5,SUM($W$6:$W73)-3,))+(OFFSET($B$5,SUM($W$6:$W73)-4,)-OFFSET($B$5,SUM($W$6:$W73)-5,))+(OFFSET($B$5,SUM($W$6:$W73)-6,)-OFFSET($B$5,SUM($W$6:$W73)-7,))</f>
        <v>#VALUE!</v>
      </c>
      <c r="AE73" s="439" t="e">
        <f ca="1">(OFFSET($B$5,SUM($W$6:$W73),)-OFFSET($B$5,SUM($W$6:$W73)-1,))+(OFFSET($B$5,SUM($W$6:$W73)-2,)-OFFSET($B$5,SUM($W$6:$W73)-3,))+(OFFSET($B$5,SUM($W$6:$W73)-4,)-OFFSET($B$5,SUM($W$6:$W73)-5,))</f>
        <v>#VALUE!</v>
      </c>
      <c r="AF73" s="439" t="e">
        <f ca="1">(OFFSET($B$5,SUM($W$6:$W73),)-OFFSET($B$5,SUM($W$6:$W73)-1,))+(OFFSET($B$5,SUM($W$6:$W73)-2,)-OFFSET($B$5,SUM($W$6:$W73)-3,))</f>
        <v>#VALUE!</v>
      </c>
      <c r="AG73" s="439" t="e">
        <f ca="1">(OFFSET($B$5,SUM($W$6:$W73),)-OFFSET($B$5,SUM($W$6:$W73)-1,))</f>
        <v>#VALUE!</v>
      </c>
      <c r="AH73" s="439" t="e">
        <f ca="1">(OFFSET($B$5,SUM($W$6:$W73)-1,)-OFFSET($B$5,SUM($W$6:$W73)-2,))+(OFFSET($B$5,SUM($W$6:$W73)-3,)-OFFSET($B$5,SUM($W$6:$W73)-4,))+(OFFSET($B$5,SUM($W$6:$W73)-5,)-OFFSET($B$5,SUM($W$6:$W73)-6,))+(OFFSET($B$5,SUM($W$6:$W73)-7,)-OFFSET($B$5,SUM($W$6:$W73)-8,))+(OFFSET($B$5,SUM($W$6:$W73)-9,)-OFFSET($B$5,SUM($W$6:$W73)-10,))</f>
        <v>#REF!</v>
      </c>
      <c r="AI73" s="439" t="e">
        <f ca="1">(OFFSET($B$5,SUM($W$6:$W73)-1,)-OFFSET($B$5,SUM($W$6:$W73)-2,))+(OFFSET($B$5,SUM($W$6:$W73)-3,)-OFFSET($B$5,SUM($W$6:$W73)-4,))+(OFFSET($B$5,SUM($W$6:$W73)-5,)-OFFSET($B$5,SUM($W$6:$W73)-6,))+(OFFSET($B$5,SUM($W$6:$W73)-7,)-OFFSET($B$5,SUM($W$6:$W73)-8,))</f>
        <v>#REF!</v>
      </c>
      <c r="AJ73" s="439" t="e">
        <f ca="1">(OFFSET($B$5,SUM($W$6:$W73)-1,)-OFFSET($B$5,SUM($W$6:$W73)-2,))+(OFFSET($B$5,SUM($W$6:$W73)-3,)-OFFSET($B$5,SUM($W$6:$W73)-4,))+(OFFSET($B$5,SUM($W$6:$W73)-5,)-OFFSET($B$5,SUM($W$6:$W73)-6,))</f>
        <v>#REF!</v>
      </c>
      <c r="AK73" s="439">
        <f ca="1">(OFFSET($B$5,SUM($W$6:$W73)-1,)-OFFSET($B$5,SUM($W$6:$W73)-2,))+(OFFSET($B$5,SUM($W$6:$W73)-3,)-OFFSET($B$5,SUM($W$6:$W73)-4,))</f>
        <v>0</v>
      </c>
      <c r="AL73" s="439">
        <f ca="1">(OFFSET($B$5,SUM($W$6:$W73)-1,)-OFFSET($B$5,SUM($W$6:$W73)-2,))</f>
        <v>0</v>
      </c>
      <c r="AM73" s="433">
        <v>2.7916666666666701</v>
      </c>
    </row>
    <row r="74" spans="2:39" x14ac:dyDescent="0.25">
      <c r="F74" s="372">
        <v>44445</v>
      </c>
      <c r="G74" s="404">
        <f t="shared" si="46"/>
        <v>44445</v>
      </c>
      <c r="H74" s="389"/>
      <c r="I74" s="389"/>
      <c r="J74" s="390"/>
      <c r="K74" s="163"/>
      <c r="L74" s="59"/>
      <c r="T74" s="438">
        <f t="shared" si="48"/>
        <v>0</v>
      </c>
      <c r="U74" s="439" t="b">
        <f t="shared" si="49"/>
        <v>0</v>
      </c>
      <c r="V74" s="440" t="b">
        <f t="shared" si="50"/>
        <v>0</v>
      </c>
      <c r="W74" s="437">
        <f t="shared" si="51"/>
        <v>0</v>
      </c>
      <c r="X74" s="439">
        <f t="shared" si="52"/>
        <v>0</v>
      </c>
      <c r="Y74" s="439">
        <f t="shared" si="53"/>
        <v>0</v>
      </c>
      <c r="Z74" s="439">
        <f t="shared" si="26"/>
        <v>0</v>
      </c>
      <c r="AA74" s="439" t="e">
        <f ca="1">(OFFSET($B$5,SUM($W$6:$W74),)-OFFSET($B$5,(SUM($W$6:$W74)-SUM($W74:$W74)+1),))</f>
        <v>#VALUE!</v>
      </c>
      <c r="AB74" s="439" t="e">
        <f ca="1">(OFFSET($B$5,SUM($W$6:$W74),)-OFFSET($B$5,SUM($W$6:$W74)-1,))+(OFFSET($B$5,SUM($W$6:$W74)-2,)-OFFSET($B$5,SUM($W$6:$W74)-3,))+(OFFSET($B$5,SUM($W$6:$W74)-4,)-OFFSET($B$5,SUM($W$6:$W74)-5,))+(OFFSET($B$5,SUM($W$6:$W74)-6,)-OFFSET($B$5,SUM($W$6:$W74)-7,))+(OFFSET($B$5,SUM($W$6:$W74)-8,)-OFFSET($B$5,SUM($W$6:$W74)-9,))+(OFFSET($B$5,SUM($W$6:$W74)-10,)-OFFSET($B$5,SUM($W$6:$W74)-11,))</f>
        <v>#VALUE!</v>
      </c>
      <c r="AC74" s="439" t="e">
        <f ca="1">(OFFSET($B$5,SUM($W$6:$W74),)-OFFSET($B$5,SUM($W$6:$W74)-1,))+(OFFSET($B$5,SUM($W$6:$W74)-2,)-OFFSET($B$5,SUM($W$6:$W74)-3,))+(OFFSET($B$5,SUM($W$6:$W74)-4,)-OFFSET($B$5,SUM($W$6:$W74)-5,))+(OFFSET($B$5,SUM($W$6:$W74)-6,)-OFFSET($B$5,SUM($W$6:$W74)-7,))+(OFFSET($B$5,SUM($W$6:$W74)-8,)-OFFSET($B$5,SUM($W$6:$W74)-9,))</f>
        <v>#VALUE!</v>
      </c>
      <c r="AD74" s="439" t="e">
        <f ca="1">(OFFSET($B$5,SUM($W$6:$W74),)-OFFSET($B$5,SUM($W$6:$W74)-1,))+(OFFSET($B$5,SUM($W$6:$W74)-2,)-OFFSET($B$5,SUM($W$6:$W74)-3,))+(OFFSET($B$5,SUM($W$6:$W74)-4,)-OFFSET($B$5,SUM($W$6:$W74)-5,))+(OFFSET($B$5,SUM($W$6:$W74)-6,)-OFFSET($B$5,SUM($W$6:$W74)-7,))</f>
        <v>#VALUE!</v>
      </c>
      <c r="AE74" s="439" t="e">
        <f ca="1">(OFFSET($B$5,SUM($W$6:$W74),)-OFFSET($B$5,SUM($W$6:$W74)-1,))+(OFFSET($B$5,SUM($W$6:$W74)-2,)-OFFSET($B$5,SUM($W$6:$W74)-3,))+(OFFSET($B$5,SUM($W$6:$W74)-4,)-OFFSET($B$5,SUM($W$6:$W74)-5,))</f>
        <v>#VALUE!</v>
      </c>
      <c r="AF74" s="439" t="e">
        <f ca="1">(OFFSET($B$5,SUM($W$6:$W74),)-OFFSET($B$5,SUM($W$6:$W74)-1,))+(OFFSET($B$5,SUM($W$6:$W74)-2,)-OFFSET($B$5,SUM($W$6:$W74)-3,))</f>
        <v>#VALUE!</v>
      </c>
      <c r="AG74" s="439" t="e">
        <f ca="1">(OFFSET($B$5,SUM($W$6:$W74),)-OFFSET($B$5,SUM($W$6:$W74)-1,))</f>
        <v>#VALUE!</v>
      </c>
      <c r="AH74" s="439" t="e">
        <f ca="1">(OFFSET($B$5,SUM($W$6:$W74)-1,)-OFFSET($B$5,SUM($W$6:$W74)-2,))+(OFFSET($B$5,SUM($W$6:$W74)-3,)-OFFSET($B$5,SUM($W$6:$W74)-4,))+(OFFSET($B$5,SUM($W$6:$W74)-5,)-OFFSET($B$5,SUM($W$6:$W74)-6,))+(OFFSET($B$5,SUM($W$6:$W74)-7,)-OFFSET($B$5,SUM($W$6:$W74)-8,))+(OFFSET($B$5,SUM($W$6:$W74)-9,)-OFFSET($B$5,SUM($W$6:$W74)-10,))</f>
        <v>#REF!</v>
      </c>
      <c r="AI74" s="439" t="e">
        <f ca="1">(OFFSET($B$5,SUM($W$6:$W74)-1,)-OFFSET($B$5,SUM($W$6:$W74)-2,))+(OFFSET($B$5,SUM($W$6:$W74)-3,)-OFFSET($B$5,SUM($W$6:$W74)-4,))+(OFFSET($B$5,SUM($W$6:$W74)-5,)-OFFSET($B$5,SUM($W$6:$W74)-6,))+(OFFSET($B$5,SUM($W$6:$W74)-7,)-OFFSET($B$5,SUM($W$6:$W74)-8,))</f>
        <v>#REF!</v>
      </c>
      <c r="AJ74" s="439" t="e">
        <f ca="1">(OFFSET($B$5,SUM($W$6:$W74)-1,)-OFFSET($B$5,SUM($W$6:$W74)-2,))+(OFFSET($B$5,SUM($W$6:$W74)-3,)-OFFSET($B$5,SUM($W$6:$W74)-4,))+(OFFSET($B$5,SUM($W$6:$W74)-5,)-OFFSET($B$5,SUM($W$6:$W74)-6,))</f>
        <v>#REF!</v>
      </c>
      <c r="AK74" s="439">
        <f ca="1">(OFFSET($B$5,SUM($W$6:$W74)-1,)-OFFSET($B$5,SUM($W$6:$W74)-2,))+(OFFSET($B$5,SUM($W$6:$W74)-3,)-OFFSET($B$5,SUM($W$6:$W74)-4,))</f>
        <v>0</v>
      </c>
      <c r="AL74" s="439">
        <f ca="1">(OFFSET($B$5,SUM($W$6:$W74)-1,)-OFFSET($B$5,SUM($W$6:$W74)-2,))</f>
        <v>0</v>
      </c>
      <c r="AM74" s="433">
        <v>2.8333333333333299</v>
      </c>
    </row>
    <row r="75" spans="2:39" x14ac:dyDescent="0.25">
      <c r="F75" s="372">
        <v>44446</v>
      </c>
      <c r="G75" s="370">
        <f t="shared" si="46"/>
        <v>44446</v>
      </c>
      <c r="H75" s="386">
        <f t="shared" ref="H75:H79" si="54">X75</f>
        <v>0</v>
      </c>
      <c r="I75" s="386">
        <f t="shared" ref="I75:I79" ca="1" si="55">IFERROR(H75+T75+OFFSET($L$69,MATCH(F75,$K$70:$K$98,0),0)-$W$2,H75-$W$2)</f>
        <v>-0.33333333333333331</v>
      </c>
      <c r="J75" s="386">
        <f ca="1">I75+J72</f>
        <v>-1.6666666666666665</v>
      </c>
      <c r="K75" s="163"/>
      <c r="L75" s="59"/>
      <c r="T75" s="438">
        <f t="shared" si="48"/>
        <v>0</v>
      </c>
      <c r="U75" s="439" t="b">
        <f t="shared" si="49"/>
        <v>0</v>
      </c>
      <c r="V75" s="440" t="b">
        <f t="shared" si="50"/>
        <v>0</v>
      </c>
      <c r="W75" s="437">
        <f t="shared" si="51"/>
        <v>0</v>
      </c>
      <c r="X75" s="439">
        <f t="shared" si="52"/>
        <v>0</v>
      </c>
      <c r="Y75" s="439">
        <f t="shared" si="53"/>
        <v>0</v>
      </c>
      <c r="Z75" s="439">
        <f t="shared" si="26"/>
        <v>0</v>
      </c>
      <c r="AA75" s="439" t="e">
        <f ca="1">(OFFSET($B$5,SUM($W$6:$W75),)-OFFSET($B$5,(SUM($W$6:$W75)-SUM($W75:$W75)+1),))</f>
        <v>#VALUE!</v>
      </c>
      <c r="AB75" s="439" t="e">
        <f ca="1">(OFFSET($B$5,SUM($W$6:$W75),)-OFFSET($B$5,SUM($W$6:$W75)-1,))+(OFFSET($B$5,SUM($W$6:$W75)-2,)-OFFSET($B$5,SUM($W$6:$W75)-3,))+(OFFSET($B$5,SUM($W$6:$W75)-4,)-OFFSET($B$5,SUM($W$6:$W75)-5,))+(OFFSET($B$5,SUM($W$6:$W75)-6,)-OFFSET($B$5,SUM($W$6:$W75)-7,))+(OFFSET($B$5,SUM($W$6:$W75)-8,)-OFFSET($B$5,SUM($W$6:$W75)-9,))+(OFFSET($B$5,SUM($W$6:$W75)-10,)-OFFSET($B$5,SUM($W$6:$W75)-11,))</f>
        <v>#VALUE!</v>
      </c>
      <c r="AC75" s="439" t="e">
        <f ca="1">(OFFSET($B$5,SUM($W$6:$W75),)-OFFSET($B$5,SUM($W$6:$W75)-1,))+(OFFSET($B$5,SUM($W$6:$W75)-2,)-OFFSET($B$5,SUM($W$6:$W75)-3,))+(OFFSET($B$5,SUM($W$6:$W75)-4,)-OFFSET($B$5,SUM($W$6:$W75)-5,))+(OFFSET($B$5,SUM($W$6:$W75)-6,)-OFFSET($B$5,SUM($W$6:$W75)-7,))+(OFFSET($B$5,SUM($W$6:$W75)-8,)-OFFSET($B$5,SUM($W$6:$W75)-9,))</f>
        <v>#VALUE!</v>
      </c>
      <c r="AD75" s="439" t="e">
        <f ca="1">(OFFSET($B$5,SUM($W$6:$W75),)-OFFSET($B$5,SUM($W$6:$W75)-1,))+(OFFSET($B$5,SUM($W$6:$W75)-2,)-OFFSET($B$5,SUM($W$6:$W75)-3,))+(OFFSET($B$5,SUM($W$6:$W75)-4,)-OFFSET($B$5,SUM($W$6:$W75)-5,))+(OFFSET($B$5,SUM($W$6:$W75)-6,)-OFFSET($B$5,SUM($W$6:$W75)-7,))</f>
        <v>#VALUE!</v>
      </c>
      <c r="AE75" s="439" t="e">
        <f ca="1">(OFFSET($B$5,SUM($W$6:$W75),)-OFFSET($B$5,SUM($W$6:$W75)-1,))+(OFFSET($B$5,SUM($W$6:$W75)-2,)-OFFSET($B$5,SUM($W$6:$W75)-3,))+(OFFSET($B$5,SUM($W$6:$W75)-4,)-OFFSET($B$5,SUM($W$6:$W75)-5,))</f>
        <v>#VALUE!</v>
      </c>
      <c r="AF75" s="439" t="e">
        <f ca="1">(OFFSET($B$5,SUM($W$6:$W75),)-OFFSET($B$5,SUM($W$6:$W75)-1,))+(OFFSET($B$5,SUM($W$6:$W75)-2,)-OFFSET($B$5,SUM($W$6:$W75)-3,))</f>
        <v>#VALUE!</v>
      </c>
      <c r="AG75" s="439" t="e">
        <f ca="1">(OFFSET($B$5,SUM($W$6:$W75),)-OFFSET($B$5,SUM($W$6:$W75)-1,))</f>
        <v>#VALUE!</v>
      </c>
      <c r="AH75" s="439" t="e">
        <f ca="1">(OFFSET($B$5,SUM($W$6:$W75)-1,)-OFFSET($B$5,SUM($W$6:$W75)-2,))+(OFFSET($B$5,SUM($W$6:$W75)-3,)-OFFSET($B$5,SUM($W$6:$W75)-4,))+(OFFSET($B$5,SUM($W$6:$W75)-5,)-OFFSET($B$5,SUM($W$6:$W75)-6,))+(OFFSET($B$5,SUM($W$6:$W75)-7,)-OFFSET($B$5,SUM($W$6:$W75)-8,))+(OFFSET($B$5,SUM($W$6:$W75)-9,)-OFFSET($B$5,SUM($W$6:$W75)-10,))</f>
        <v>#REF!</v>
      </c>
      <c r="AI75" s="439" t="e">
        <f ca="1">(OFFSET($B$5,SUM($W$6:$W75)-1,)-OFFSET($B$5,SUM($W$6:$W75)-2,))+(OFFSET($B$5,SUM($W$6:$W75)-3,)-OFFSET($B$5,SUM($W$6:$W75)-4,))+(OFFSET($B$5,SUM($W$6:$W75)-5,)-OFFSET($B$5,SUM($W$6:$W75)-6,))+(OFFSET($B$5,SUM($W$6:$W75)-7,)-OFFSET($B$5,SUM($W$6:$W75)-8,))</f>
        <v>#REF!</v>
      </c>
      <c r="AJ75" s="439" t="e">
        <f ca="1">(OFFSET($B$5,SUM($W$6:$W75)-1,)-OFFSET($B$5,SUM($W$6:$W75)-2,))+(OFFSET($B$5,SUM($W$6:$W75)-3,)-OFFSET($B$5,SUM($W$6:$W75)-4,))+(OFFSET($B$5,SUM($W$6:$W75)-5,)-OFFSET($B$5,SUM($W$6:$W75)-6,))</f>
        <v>#REF!</v>
      </c>
      <c r="AK75" s="439">
        <f ca="1">(OFFSET($B$5,SUM($W$6:$W75)-1,)-OFFSET($B$5,SUM($W$6:$W75)-2,))+(OFFSET($B$5,SUM($W$6:$W75)-3,)-OFFSET($B$5,SUM($W$6:$W75)-4,))</f>
        <v>0</v>
      </c>
      <c r="AL75" s="439">
        <f ca="1">(OFFSET($B$5,SUM($W$6:$W75)-1,)-OFFSET($B$5,SUM($W$6:$W75)-2,))</f>
        <v>0</v>
      </c>
      <c r="AM75" s="433">
        <v>2.875</v>
      </c>
    </row>
    <row r="76" spans="2:39" x14ac:dyDescent="0.25">
      <c r="F76" s="372">
        <v>44447</v>
      </c>
      <c r="G76" s="370">
        <f t="shared" si="46"/>
        <v>44447</v>
      </c>
      <c r="H76" s="386">
        <f t="shared" si="54"/>
        <v>0</v>
      </c>
      <c r="I76" s="386">
        <f t="shared" ca="1" si="55"/>
        <v>-0.33333333333333331</v>
      </c>
      <c r="J76" s="386">
        <f ca="1">I76+J75</f>
        <v>-1.9999999999999998</v>
      </c>
      <c r="K76" s="163"/>
      <c r="L76" s="59"/>
      <c r="T76" s="438">
        <f t="shared" si="48"/>
        <v>0</v>
      </c>
      <c r="U76" s="439" t="b">
        <f t="shared" si="49"/>
        <v>0</v>
      </c>
      <c r="V76" s="440" t="b">
        <f t="shared" si="50"/>
        <v>0</v>
      </c>
      <c r="W76" s="437">
        <f t="shared" si="51"/>
        <v>0</v>
      </c>
      <c r="X76" s="439">
        <f t="shared" si="52"/>
        <v>0</v>
      </c>
      <c r="Y76" s="439">
        <f t="shared" si="53"/>
        <v>0</v>
      </c>
      <c r="Z76" s="439">
        <f t="shared" si="26"/>
        <v>0</v>
      </c>
      <c r="AA76" s="439" t="e">
        <f ca="1">(OFFSET($B$5,SUM($W$6:$W76),)-OFFSET($B$5,(SUM($W$6:$W76)-SUM($W76:$W76)+1),))</f>
        <v>#VALUE!</v>
      </c>
      <c r="AB76" s="439" t="e">
        <f ca="1">(OFFSET($B$5,SUM($W$6:$W76),)-OFFSET($B$5,SUM($W$6:$W76)-1,))+(OFFSET($B$5,SUM($W$6:$W76)-2,)-OFFSET($B$5,SUM($W$6:$W76)-3,))+(OFFSET($B$5,SUM($W$6:$W76)-4,)-OFFSET($B$5,SUM($W$6:$W76)-5,))+(OFFSET($B$5,SUM($W$6:$W76)-6,)-OFFSET($B$5,SUM($W$6:$W76)-7,))+(OFFSET($B$5,SUM($W$6:$W76)-8,)-OFFSET($B$5,SUM($W$6:$W76)-9,))+(OFFSET($B$5,SUM($W$6:$W76)-10,)-OFFSET($B$5,SUM($W$6:$W76)-11,))</f>
        <v>#VALUE!</v>
      </c>
      <c r="AC76" s="439" t="e">
        <f ca="1">(OFFSET($B$5,SUM($W$6:$W76),)-OFFSET($B$5,SUM($W$6:$W76)-1,))+(OFFSET($B$5,SUM($W$6:$W76)-2,)-OFFSET($B$5,SUM($W$6:$W76)-3,))+(OFFSET($B$5,SUM($W$6:$W76)-4,)-OFFSET($B$5,SUM($W$6:$W76)-5,))+(OFFSET($B$5,SUM($W$6:$W76)-6,)-OFFSET($B$5,SUM($W$6:$W76)-7,))+(OFFSET($B$5,SUM($W$6:$W76)-8,)-OFFSET($B$5,SUM($W$6:$W76)-9,))</f>
        <v>#VALUE!</v>
      </c>
      <c r="AD76" s="439" t="e">
        <f ca="1">(OFFSET($B$5,SUM($W$6:$W76),)-OFFSET($B$5,SUM($W$6:$W76)-1,))+(OFFSET($B$5,SUM($W$6:$W76)-2,)-OFFSET($B$5,SUM($W$6:$W76)-3,))+(OFFSET($B$5,SUM($W$6:$W76)-4,)-OFFSET($B$5,SUM($W$6:$W76)-5,))+(OFFSET($B$5,SUM($W$6:$W76)-6,)-OFFSET($B$5,SUM($W$6:$W76)-7,))</f>
        <v>#VALUE!</v>
      </c>
      <c r="AE76" s="439" t="e">
        <f ca="1">(OFFSET($B$5,SUM($W$6:$W76),)-OFFSET($B$5,SUM($W$6:$W76)-1,))+(OFFSET($B$5,SUM($W$6:$W76)-2,)-OFFSET($B$5,SUM($W$6:$W76)-3,))+(OFFSET($B$5,SUM($W$6:$W76)-4,)-OFFSET($B$5,SUM($W$6:$W76)-5,))</f>
        <v>#VALUE!</v>
      </c>
      <c r="AF76" s="439" t="e">
        <f ca="1">(OFFSET($B$5,SUM($W$6:$W76),)-OFFSET($B$5,SUM($W$6:$W76)-1,))+(OFFSET($B$5,SUM($W$6:$W76)-2,)-OFFSET($B$5,SUM($W$6:$W76)-3,))</f>
        <v>#VALUE!</v>
      </c>
      <c r="AG76" s="439" t="e">
        <f ca="1">(OFFSET($B$5,SUM($W$6:$W76),)-OFFSET($B$5,SUM($W$6:$W76)-1,))</f>
        <v>#VALUE!</v>
      </c>
      <c r="AH76" s="439" t="e">
        <f ca="1">(OFFSET($B$5,SUM($W$6:$W76)-1,)-OFFSET($B$5,SUM($W$6:$W76)-2,))+(OFFSET($B$5,SUM($W$6:$W76)-3,)-OFFSET($B$5,SUM($W$6:$W76)-4,))+(OFFSET($B$5,SUM($W$6:$W76)-5,)-OFFSET($B$5,SUM($W$6:$W76)-6,))+(OFFSET($B$5,SUM($W$6:$W76)-7,)-OFFSET($B$5,SUM($W$6:$W76)-8,))+(OFFSET($B$5,SUM($W$6:$W76)-9,)-OFFSET($B$5,SUM($W$6:$W76)-10,))</f>
        <v>#REF!</v>
      </c>
      <c r="AI76" s="439" t="e">
        <f ca="1">(OFFSET($B$5,SUM($W$6:$W76)-1,)-OFFSET($B$5,SUM($W$6:$W76)-2,))+(OFFSET($B$5,SUM($W$6:$W76)-3,)-OFFSET($B$5,SUM($W$6:$W76)-4,))+(OFFSET($B$5,SUM($W$6:$W76)-5,)-OFFSET($B$5,SUM($W$6:$W76)-6,))+(OFFSET($B$5,SUM($W$6:$W76)-7,)-OFFSET($B$5,SUM($W$6:$W76)-8,))</f>
        <v>#REF!</v>
      </c>
      <c r="AJ76" s="439" t="e">
        <f ca="1">(OFFSET($B$5,SUM($W$6:$W76)-1,)-OFFSET($B$5,SUM($W$6:$W76)-2,))+(OFFSET($B$5,SUM($W$6:$W76)-3,)-OFFSET($B$5,SUM($W$6:$W76)-4,))+(OFFSET($B$5,SUM($W$6:$W76)-5,)-OFFSET($B$5,SUM($W$6:$W76)-6,))</f>
        <v>#REF!</v>
      </c>
      <c r="AK76" s="439">
        <f ca="1">(OFFSET($B$5,SUM($W$6:$W76)-1,)-OFFSET($B$5,SUM($W$6:$W76)-2,))+(OFFSET($B$5,SUM($W$6:$W76)-3,)-OFFSET($B$5,SUM($W$6:$W76)-4,))</f>
        <v>0</v>
      </c>
      <c r="AL76" s="439">
        <f ca="1">(OFFSET($B$5,SUM($W$6:$W76)-1,)-OFFSET($B$5,SUM($W$6:$W76)-2,))</f>
        <v>0</v>
      </c>
      <c r="AM76" s="433">
        <v>2.9166666666666701</v>
      </c>
    </row>
    <row r="77" spans="2:39" x14ac:dyDescent="0.25">
      <c r="F77" s="372">
        <v>44448</v>
      </c>
      <c r="G77" s="370">
        <f t="shared" si="46"/>
        <v>44448</v>
      </c>
      <c r="H77" s="386">
        <f t="shared" si="54"/>
        <v>0</v>
      </c>
      <c r="I77" s="386">
        <f t="shared" ca="1" si="55"/>
        <v>-0.33333333333333331</v>
      </c>
      <c r="J77" s="386">
        <f t="shared" ref="J77:J79" ca="1" si="56">I77+J76</f>
        <v>-2.333333333333333</v>
      </c>
      <c r="K77" s="163"/>
      <c r="L77" s="59"/>
      <c r="T77" s="438">
        <f t="shared" si="48"/>
        <v>0</v>
      </c>
      <c r="U77" s="439" t="b">
        <f t="shared" si="49"/>
        <v>0</v>
      </c>
      <c r="V77" s="440" t="b">
        <f t="shared" si="50"/>
        <v>0</v>
      </c>
      <c r="W77" s="437">
        <f t="shared" si="51"/>
        <v>0</v>
      </c>
      <c r="X77" s="439">
        <f t="shared" si="52"/>
        <v>0</v>
      </c>
      <c r="Y77" s="439">
        <f t="shared" si="53"/>
        <v>0</v>
      </c>
      <c r="Z77" s="439">
        <f t="shared" si="26"/>
        <v>0</v>
      </c>
      <c r="AA77" s="439" t="e">
        <f ca="1">(OFFSET($B$5,SUM($W$6:$W77),)-OFFSET($B$5,(SUM($W$6:$W77)-SUM($W77:$W77)+1),))</f>
        <v>#VALUE!</v>
      </c>
      <c r="AB77" s="439" t="e">
        <f ca="1">(OFFSET($B$5,SUM($W$6:$W77),)-OFFSET($B$5,SUM($W$6:$W77)-1,))+(OFFSET($B$5,SUM($W$6:$W77)-2,)-OFFSET($B$5,SUM($W$6:$W77)-3,))+(OFFSET($B$5,SUM($W$6:$W77)-4,)-OFFSET($B$5,SUM($W$6:$W77)-5,))+(OFFSET($B$5,SUM($W$6:$W77)-6,)-OFFSET($B$5,SUM($W$6:$W77)-7,))+(OFFSET($B$5,SUM($W$6:$W77)-8,)-OFFSET($B$5,SUM($W$6:$W77)-9,))+(OFFSET($B$5,SUM($W$6:$W77)-10,)-OFFSET($B$5,SUM($W$6:$W77)-11,))</f>
        <v>#VALUE!</v>
      </c>
      <c r="AC77" s="439" t="e">
        <f ca="1">(OFFSET($B$5,SUM($W$6:$W77),)-OFFSET($B$5,SUM($W$6:$W77)-1,))+(OFFSET($B$5,SUM($W$6:$W77)-2,)-OFFSET($B$5,SUM($W$6:$W77)-3,))+(OFFSET($B$5,SUM($W$6:$W77)-4,)-OFFSET($B$5,SUM($W$6:$W77)-5,))+(OFFSET($B$5,SUM($W$6:$W77)-6,)-OFFSET($B$5,SUM($W$6:$W77)-7,))+(OFFSET($B$5,SUM($W$6:$W77)-8,)-OFFSET($B$5,SUM($W$6:$W77)-9,))</f>
        <v>#VALUE!</v>
      </c>
      <c r="AD77" s="439" t="e">
        <f ca="1">(OFFSET($B$5,SUM($W$6:$W77),)-OFFSET($B$5,SUM($W$6:$W77)-1,))+(OFFSET($B$5,SUM($W$6:$W77)-2,)-OFFSET($B$5,SUM($W$6:$W77)-3,))+(OFFSET($B$5,SUM($W$6:$W77)-4,)-OFFSET($B$5,SUM($W$6:$W77)-5,))+(OFFSET($B$5,SUM($W$6:$W77)-6,)-OFFSET($B$5,SUM($W$6:$W77)-7,))</f>
        <v>#VALUE!</v>
      </c>
      <c r="AE77" s="439" t="e">
        <f ca="1">(OFFSET($B$5,SUM($W$6:$W77),)-OFFSET($B$5,SUM($W$6:$W77)-1,))+(OFFSET($B$5,SUM($W$6:$W77)-2,)-OFFSET($B$5,SUM($W$6:$W77)-3,))+(OFFSET($B$5,SUM($W$6:$W77)-4,)-OFFSET($B$5,SUM($W$6:$W77)-5,))</f>
        <v>#VALUE!</v>
      </c>
      <c r="AF77" s="439" t="e">
        <f ca="1">(OFFSET($B$5,SUM($W$6:$W77),)-OFFSET($B$5,SUM($W$6:$W77)-1,))+(OFFSET($B$5,SUM($W$6:$W77)-2,)-OFFSET($B$5,SUM($W$6:$W77)-3,))</f>
        <v>#VALUE!</v>
      </c>
      <c r="AG77" s="439" t="e">
        <f ca="1">(OFFSET($B$5,SUM($W$6:$W77),)-OFFSET($B$5,SUM($W$6:$W77)-1,))</f>
        <v>#VALUE!</v>
      </c>
      <c r="AH77" s="439" t="e">
        <f ca="1">(OFFSET($B$5,SUM($W$6:$W77)-1,)-OFFSET($B$5,SUM($W$6:$W77)-2,))+(OFFSET($B$5,SUM($W$6:$W77)-3,)-OFFSET($B$5,SUM($W$6:$W77)-4,))+(OFFSET($B$5,SUM($W$6:$W77)-5,)-OFFSET($B$5,SUM($W$6:$W77)-6,))+(OFFSET($B$5,SUM($W$6:$W77)-7,)-OFFSET($B$5,SUM($W$6:$W77)-8,))+(OFFSET($B$5,SUM($W$6:$W77)-9,)-OFFSET($B$5,SUM($W$6:$W77)-10,))</f>
        <v>#REF!</v>
      </c>
      <c r="AI77" s="439" t="e">
        <f ca="1">(OFFSET($B$5,SUM($W$6:$W77)-1,)-OFFSET($B$5,SUM($W$6:$W77)-2,))+(OFFSET($B$5,SUM($W$6:$W77)-3,)-OFFSET($B$5,SUM($W$6:$W77)-4,))+(OFFSET($B$5,SUM($W$6:$W77)-5,)-OFFSET($B$5,SUM($W$6:$W77)-6,))+(OFFSET($B$5,SUM($W$6:$W77)-7,)-OFFSET($B$5,SUM($W$6:$W77)-8,))</f>
        <v>#REF!</v>
      </c>
      <c r="AJ77" s="439" t="e">
        <f ca="1">(OFFSET($B$5,SUM($W$6:$W77)-1,)-OFFSET($B$5,SUM($W$6:$W77)-2,))+(OFFSET($B$5,SUM($W$6:$W77)-3,)-OFFSET($B$5,SUM($W$6:$W77)-4,))+(OFFSET($B$5,SUM($W$6:$W77)-5,)-OFFSET($B$5,SUM($W$6:$W77)-6,))</f>
        <v>#REF!</v>
      </c>
      <c r="AK77" s="439">
        <f ca="1">(OFFSET($B$5,SUM($W$6:$W77)-1,)-OFFSET($B$5,SUM($W$6:$W77)-2,))+(OFFSET($B$5,SUM($W$6:$W77)-3,)-OFFSET($B$5,SUM($W$6:$W77)-4,))</f>
        <v>0</v>
      </c>
      <c r="AL77" s="439">
        <f ca="1">(OFFSET($B$5,SUM($W$6:$W77)-1,)-OFFSET($B$5,SUM($W$6:$W77)-2,))</f>
        <v>0</v>
      </c>
      <c r="AM77" s="433">
        <v>2.9583333333333299</v>
      </c>
    </row>
    <row r="78" spans="2:39" x14ac:dyDescent="0.25">
      <c r="F78" s="372">
        <v>44449</v>
      </c>
      <c r="G78" s="370">
        <f t="shared" si="46"/>
        <v>44449</v>
      </c>
      <c r="H78" s="386">
        <f t="shared" si="54"/>
        <v>0</v>
      </c>
      <c r="I78" s="386">
        <f t="shared" ca="1" si="55"/>
        <v>-0.33333333333333331</v>
      </c>
      <c r="J78" s="386">
        <f t="shared" ca="1" si="56"/>
        <v>-2.6666666666666665</v>
      </c>
      <c r="K78" s="163"/>
      <c r="L78" s="59"/>
      <c r="T78" s="438">
        <f t="shared" si="48"/>
        <v>0</v>
      </c>
      <c r="U78" s="439" t="b">
        <f t="shared" si="49"/>
        <v>0</v>
      </c>
      <c r="V78" s="440" t="b">
        <f t="shared" si="50"/>
        <v>0</v>
      </c>
      <c r="W78" s="437">
        <f t="shared" si="51"/>
        <v>0</v>
      </c>
      <c r="X78" s="439">
        <f t="shared" si="52"/>
        <v>0</v>
      </c>
      <c r="Y78" s="439">
        <f t="shared" si="53"/>
        <v>0</v>
      </c>
      <c r="Z78" s="439">
        <f t="shared" si="26"/>
        <v>0</v>
      </c>
      <c r="AA78" s="439" t="e">
        <f ca="1">(OFFSET($B$5,SUM($W$6:$W78),)-OFFSET($B$5,(SUM($W$6:$W78)-SUM($W78:$W78)+1),))</f>
        <v>#VALUE!</v>
      </c>
      <c r="AB78" s="439" t="e">
        <f ca="1">(OFFSET($B$5,SUM($W$6:$W78),)-OFFSET($B$5,SUM($W$6:$W78)-1,))+(OFFSET($B$5,SUM($W$6:$W78)-2,)-OFFSET($B$5,SUM($W$6:$W78)-3,))+(OFFSET($B$5,SUM($W$6:$W78)-4,)-OFFSET($B$5,SUM($W$6:$W78)-5,))+(OFFSET($B$5,SUM($W$6:$W78)-6,)-OFFSET($B$5,SUM($W$6:$W78)-7,))+(OFFSET($B$5,SUM($W$6:$W78)-8,)-OFFSET($B$5,SUM($W$6:$W78)-9,))+(OFFSET($B$5,SUM($W$6:$W78)-10,)-OFFSET($B$5,SUM($W$6:$W78)-11,))</f>
        <v>#VALUE!</v>
      </c>
      <c r="AC78" s="439" t="e">
        <f ca="1">(OFFSET($B$5,SUM($W$6:$W78),)-OFFSET($B$5,SUM($W$6:$W78)-1,))+(OFFSET($B$5,SUM($W$6:$W78)-2,)-OFFSET($B$5,SUM($W$6:$W78)-3,))+(OFFSET($B$5,SUM($W$6:$W78)-4,)-OFFSET($B$5,SUM($W$6:$W78)-5,))+(OFFSET($B$5,SUM($W$6:$W78)-6,)-OFFSET($B$5,SUM($W$6:$W78)-7,))+(OFFSET($B$5,SUM($W$6:$W78)-8,)-OFFSET($B$5,SUM($W$6:$W78)-9,))</f>
        <v>#VALUE!</v>
      </c>
      <c r="AD78" s="439" t="e">
        <f ca="1">(OFFSET($B$5,SUM($W$6:$W78),)-OFFSET($B$5,SUM($W$6:$W78)-1,))+(OFFSET($B$5,SUM($W$6:$W78)-2,)-OFFSET($B$5,SUM($W$6:$W78)-3,))+(OFFSET($B$5,SUM($W$6:$W78)-4,)-OFFSET($B$5,SUM($W$6:$W78)-5,))+(OFFSET($B$5,SUM($W$6:$W78)-6,)-OFFSET($B$5,SUM($W$6:$W78)-7,))</f>
        <v>#VALUE!</v>
      </c>
      <c r="AE78" s="439" t="e">
        <f ca="1">(OFFSET($B$5,SUM($W$6:$W78),)-OFFSET($B$5,SUM($W$6:$W78)-1,))+(OFFSET($B$5,SUM($W$6:$W78)-2,)-OFFSET($B$5,SUM($W$6:$W78)-3,))+(OFFSET($B$5,SUM($W$6:$W78)-4,)-OFFSET($B$5,SUM($W$6:$W78)-5,))</f>
        <v>#VALUE!</v>
      </c>
      <c r="AF78" s="439" t="e">
        <f ca="1">(OFFSET($B$5,SUM($W$6:$W78),)-OFFSET($B$5,SUM($W$6:$W78)-1,))+(OFFSET($B$5,SUM($W$6:$W78)-2,)-OFFSET($B$5,SUM($W$6:$W78)-3,))</f>
        <v>#VALUE!</v>
      </c>
      <c r="AG78" s="439" t="e">
        <f ca="1">(OFFSET($B$5,SUM($W$6:$W78),)-OFFSET($B$5,SUM($W$6:$W78)-1,))</f>
        <v>#VALUE!</v>
      </c>
      <c r="AH78" s="439" t="e">
        <f ca="1">(OFFSET($B$5,SUM($W$6:$W78)-1,)-OFFSET($B$5,SUM($W$6:$W78)-2,))+(OFFSET($B$5,SUM($W$6:$W78)-3,)-OFFSET($B$5,SUM($W$6:$W78)-4,))+(OFFSET($B$5,SUM($W$6:$W78)-5,)-OFFSET($B$5,SUM($W$6:$W78)-6,))+(OFFSET($B$5,SUM($W$6:$W78)-7,)-OFFSET($B$5,SUM($W$6:$W78)-8,))+(OFFSET($B$5,SUM($W$6:$W78)-9,)-OFFSET($B$5,SUM($W$6:$W78)-10,))</f>
        <v>#REF!</v>
      </c>
      <c r="AI78" s="439" t="e">
        <f ca="1">(OFFSET($B$5,SUM($W$6:$W78)-1,)-OFFSET($B$5,SUM($W$6:$W78)-2,))+(OFFSET($B$5,SUM($W$6:$W78)-3,)-OFFSET($B$5,SUM($W$6:$W78)-4,))+(OFFSET($B$5,SUM($W$6:$W78)-5,)-OFFSET($B$5,SUM($W$6:$W78)-6,))+(OFFSET($B$5,SUM($W$6:$W78)-7,)-OFFSET($B$5,SUM($W$6:$W78)-8,))</f>
        <v>#REF!</v>
      </c>
      <c r="AJ78" s="439" t="e">
        <f ca="1">(OFFSET($B$5,SUM($W$6:$W78)-1,)-OFFSET($B$5,SUM($W$6:$W78)-2,))+(OFFSET($B$5,SUM($W$6:$W78)-3,)-OFFSET($B$5,SUM($W$6:$W78)-4,))+(OFFSET($B$5,SUM($W$6:$W78)-5,)-OFFSET($B$5,SUM($W$6:$W78)-6,))</f>
        <v>#REF!</v>
      </c>
      <c r="AK78" s="439">
        <f ca="1">(OFFSET($B$5,SUM($W$6:$W78)-1,)-OFFSET($B$5,SUM($W$6:$W78)-2,))+(OFFSET($B$5,SUM($W$6:$W78)-3,)-OFFSET($B$5,SUM($W$6:$W78)-4,))</f>
        <v>0</v>
      </c>
      <c r="AL78" s="439">
        <f ca="1">(OFFSET($B$5,SUM($W$6:$W78)-1,)-OFFSET($B$5,SUM($W$6:$W78)-2,))</f>
        <v>0</v>
      </c>
      <c r="AM78" s="433">
        <v>3</v>
      </c>
    </row>
    <row r="79" spans="2:39" x14ac:dyDescent="0.25">
      <c r="F79" s="372">
        <v>44450</v>
      </c>
      <c r="G79" s="370">
        <f t="shared" si="46"/>
        <v>44450</v>
      </c>
      <c r="H79" s="386">
        <f t="shared" si="54"/>
        <v>0</v>
      </c>
      <c r="I79" s="386">
        <f t="shared" ca="1" si="55"/>
        <v>-0.33333333333333331</v>
      </c>
      <c r="J79" s="386">
        <f t="shared" ca="1" si="56"/>
        <v>-3</v>
      </c>
      <c r="K79" s="163"/>
      <c r="L79" s="59"/>
      <c r="T79" s="438">
        <f t="shared" si="48"/>
        <v>0</v>
      </c>
      <c r="U79" s="439" t="b">
        <f t="shared" si="49"/>
        <v>0</v>
      </c>
      <c r="V79" s="440" t="b">
        <f t="shared" si="50"/>
        <v>0</v>
      </c>
      <c r="W79" s="437">
        <f t="shared" si="51"/>
        <v>0</v>
      </c>
      <c r="X79" s="439">
        <f t="shared" si="52"/>
        <v>0</v>
      </c>
      <c r="Y79" s="439">
        <f t="shared" si="53"/>
        <v>0</v>
      </c>
      <c r="Z79" s="439">
        <f t="shared" si="26"/>
        <v>0</v>
      </c>
      <c r="AA79" s="439" t="e">
        <f ca="1">(OFFSET($B$5,SUM($W$6:$W79),)-OFFSET($B$5,(SUM($W$6:$W79)-SUM($W79:$W79)+1),))</f>
        <v>#VALUE!</v>
      </c>
      <c r="AB79" s="439" t="e">
        <f ca="1">(OFFSET($B$5,SUM($W$6:$W79),)-OFFSET($B$5,SUM($W$6:$W79)-1,))+(OFFSET($B$5,SUM($W$6:$W79)-2,)-OFFSET($B$5,SUM($W$6:$W79)-3,))+(OFFSET($B$5,SUM($W$6:$W79)-4,)-OFFSET($B$5,SUM($W$6:$W79)-5,))+(OFFSET($B$5,SUM($W$6:$W79)-6,)-OFFSET($B$5,SUM($W$6:$W79)-7,))+(OFFSET($B$5,SUM($W$6:$W79)-8,)-OFFSET($B$5,SUM($W$6:$W79)-9,))+(OFFSET($B$5,SUM($W$6:$W79)-10,)-OFFSET($B$5,SUM($W$6:$W79)-11,))</f>
        <v>#VALUE!</v>
      </c>
      <c r="AC79" s="439" t="e">
        <f ca="1">(OFFSET($B$5,SUM($W$6:$W79),)-OFFSET($B$5,SUM($W$6:$W79)-1,))+(OFFSET($B$5,SUM($W$6:$W79)-2,)-OFFSET($B$5,SUM($W$6:$W79)-3,))+(OFFSET($B$5,SUM($W$6:$W79)-4,)-OFFSET($B$5,SUM($W$6:$W79)-5,))+(OFFSET($B$5,SUM($W$6:$W79)-6,)-OFFSET($B$5,SUM($W$6:$W79)-7,))+(OFFSET($B$5,SUM($W$6:$W79)-8,)-OFFSET($B$5,SUM($W$6:$W79)-9,))</f>
        <v>#VALUE!</v>
      </c>
      <c r="AD79" s="439" t="e">
        <f ca="1">(OFFSET($B$5,SUM($W$6:$W79),)-OFFSET($B$5,SUM($W$6:$W79)-1,))+(OFFSET($B$5,SUM($W$6:$W79)-2,)-OFFSET($B$5,SUM($W$6:$W79)-3,))+(OFFSET($B$5,SUM($W$6:$W79)-4,)-OFFSET($B$5,SUM($W$6:$W79)-5,))+(OFFSET($B$5,SUM($W$6:$W79)-6,)-OFFSET($B$5,SUM($W$6:$W79)-7,))</f>
        <v>#VALUE!</v>
      </c>
      <c r="AE79" s="439" t="e">
        <f ca="1">(OFFSET($B$5,SUM($W$6:$W79),)-OFFSET($B$5,SUM($W$6:$W79)-1,))+(OFFSET($B$5,SUM($W$6:$W79)-2,)-OFFSET($B$5,SUM($W$6:$W79)-3,))+(OFFSET($B$5,SUM($W$6:$W79)-4,)-OFFSET($B$5,SUM($W$6:$W79)-5,))</f>
        <v>#VALUE!</v>
      </c>
      <c r="AF79" s="439" t="e">
        <f ca="1">(OFFSET($B$5,SUM($W$6:$W79),)-OFFSET($B$5,SUM($W$6:$W79)-1,))+(OFFSET($B$5,SUM($W$6:$W79)-2,)-OFFSET($B$5,SUM($W$6:$W79)-3,))</f>
        <v>#VALUE!</v>
      </c>
      <c r="AG79" s="439" t="e">
        <f ca="1">(OFFSET($B$5,SUM($W$6:$W79),)-OFFSET($B$5,SUM($W$6:$W79)-1,))</f>
        <v>#VALUE!</v>
      </c>
      <c r="AH79" s="439" t="e">
        <f ca="1">(OFFSET($B$5,SUM($W$6:$W79)-1,)-OFFSET($B$5,SUM($W$6:$W79)-2,))+(OFFSET($B$5,SUM($W$6:$W79)-3,)-OFFSET($B$5,SUM($W$6:$W79)-4,))+(OFFSET($B$5,SUM($W$6:$W79)-5,)-OFFSET($B$5,SUM($W$6:$W79)-6,))+(OFFSET($B$5,SUM($W$6:$W79)-7,)-OFFSET($B$5,SUM($W$6:$W79)-8,))+(OFFSET($B$5,SUM($W$6:$W79)-9,)-OFFSET($B$5,SUM($W$6:$W79)-10,))</f>
        <v>#REF!</v>
      </c>
      <c r="AI79" s="439" t="e">
        <f ca="1">(OFFSET($B$5,SUM($W$6:$W79)-1,)-OFFSET($B$5,SUM($W$6:$W79)-2,))+(OFFSET($B$5,SUM($W$6:$W79)-3,)-OFFSET($B$5,SUM($W$6:$W79)-4,))+(OFFSET($B$5,SUM($W$6:$W79)-5,)-OFFSET($B$5,SUM($W$6:$W79)-6,))+(OFFSET($B$5,SUM($W$6:$W79)-7,)-OFFSET($B$5,SUM($W$6:$W79)-8,))</f>
        <v>#REF!</v>
      </c>
      <c r="AJ79" s="439" t="e">
        <f ca="1">(OFFSET($B$5,SUM($W$6:$W79)-1,)-OFFSET($B$5,SUM($W$6:$W79)-2,))+(OFFSET($B$5,SUM($W$6:$W79)-3,)-OFFSET($B$5,SUM($W$6:$W79)-4,))+(OFFSET($B$5,SUM($W$6:$W79)-5,)-OFFSET($B$5,SUM($W$6:$W79)-6,))</f>
        <v>#REF!</v>
      </c>
      <c r="AK79" s="439">
        <f ca="1">(OFFSET($B$5,SUM($W$6:$W79)-1,)-OFFSET($B$5,SUM($W$6:$W79)-2,))+(OFFSET($B$5,SUM($W$6:$W79)-3,)-OFFSET($B$5,SUM($W$6:$W79)-4,))</f>
        <v>0</v>
      </c>
      <c r="AL79" s="439">
        <f ca="1">(OFFSET($B$5,SUM($W$6:$W79)-1,)-OFFSET($B$5,SUM($W$6:$W79)-2,))</f>
        <v>0</v>
      </c>
      <c r="AM79" s="433">
        <v>3.0416666666666701</v>
      </c>
    </row>
    <row r="80" spans="2:39" x14ac:dyDescent="0.25">
      <c r="F80" s="372">
        <v>44451</v>
      </c>
      <c r="G80" s="404">
        <f t="shared" si="46"/>
        <v>44451</v>
      </c>
      <c r="H80" s="389"/>
      <c r="I80" s="389"/>
      <c r="J80" s="390"/>
      <c r="K80" s="164"/>
      <c r="L80" s="60"/>
      <c r="T80" s="438">
        <f t="shared" si="48"/>
        <v>0</v>
      </c>
      <c r="U80" s="439" t="b">
        <f t="shared" si="49"/>
        <v>0</v>
      </c>
      <c r="V80" s="440" t="b">
        <f t="shared" si="50"/>
        <v>0</v>
      </c>
      <c r="W80" s="437">
        <f t="shared" si="51"/>
        <v>0</v>
      </c>
      <c r="X80" s="439">
        <f t="shared" si="52"/>
        <v>0</v>
      </c>
      <c r="Y80" s="439">
        <f t="shared" si="53"/>
        <v>0</v>
      </c>
      <c r="Z80" s="439">
        <f t="shared" si="26"/>
        <v>0</v>
      </c>
      <c r="AA80" s="439" t="e">
        <f ca="1">(OFFSET($B$5,SUM($W$6:$W80),)-OFFSET($B$5,(SUM($W$6:$W80)-SUM($W80:$W80)+1),))</f>
        <v>#VALUE!</v>
      </c>
      <c r="AB80" s="439" t="e">
        <f ca="1">(OFFSET($B$5,SUM($W$6:$W80),)-OFFSET($B$5,SUM($W$6:$W80)-1,))+(OFFSET($B$5,SUM($W$6:$W80)-2,)-OFFSET($B$5,SUM($W$6:$W80)-3,))+(OFFSET($B$5,SUM($W$6:$W80)-4,)-OFFSET($B$5,SUM($W$6:$W80)-5,))+(OFFSET($B$5,SUM($W$6:$W80)-6,)-OFFSET($B$5,SUM($W$6:$W80)-7,))+(OFFSET($B$5,SUM($W$6:$W80)-8,)-OFFSET($B$5,SUM($W$6:$W80)-9,))+(OFFSET($B$5,SUM($W$6:$W80)-10,)-OFFSET($B$5,SUM($W$6:$W80)-11,))</f>
        <v>#VALUE!</v>
      </c>
      <c r="AC80" s="439" t="e">
        <f ca="1">(OFFSET($B$5,SUM($W$6:$W80),)-OFFSET($B$5,SUM($W$6:$W80)-1,))+(OFFSET($B$5,SUM($W$6:$W80)-2,)-OFFSET($B$5,SUM($W$6:$W80)-3,))+(OFFSET($B$5,SUM($W$6:$W80)-4,)-OFFSET($B$5,SUM($W$6:$W80)-5,))+(OFFSET($B$5,SUM($W$6:$W80)-6,)-OFFSET($B$5,SUM($W$6:$W80)-7,))+(OFFSET($B$5,SUM($W$6:$W80)-8,)-OFFSET($B$5,SUM($W$6:$W80)-9,))</f>
        <v>#VALUE!</v>
      </c>
      <c r="AD80" s="439" t="e">
        <f ca="1">(OFFSET($B$5,SUM($W$6:$W80),)-OFFSET($B$5,SUM($W$6:$W80)-1,))+(OFFSET($B$5,SUM($W$6:$W80)-2,)-OFFSET($B$5,SUM($W$6:$W80)-3,))+(OFFSET($B$5,SUM($W$6:$W80)-4,)-OFFSET($B$5,SUM($W$6:$W80)-5,))+(OFFSET($B$5,SUM($W$6:$W80)-6,)-OFFSET($B$5,SUM($W$6:$W80)-7,))</f>
        <v>#VALUE!</v>
      </c>
      <c r="AE80" s="439" t="e">
        <f ca="1">(OFFSET($B$5,SUM($W$6:$W80),)-OFFSET($B$5,SUM($W$6:$W80)-1,))+(OFFSET($B$5,SUM($W$6:$W80)-2,)-OFFSET($B$5,SUM($W$6:$W80)-3,))+(OFFSET($B$5,SUM($W$6:$W80)-4,)-OFFSET($B$5,SUM($W$6:$W80)-5,))</f>
        <v>#VALUE!</v>
      </c>
      <c r="AF80" s="439" t="e">
        <f ca="1">(OFFSET($B$5,SUM($W$6:$W80),)-OFFSET($B$5,SUM($W$6:$W80)-1,))+(OFFSET($B$5,SUM($W$6:$W80)-2,)-OFFSET($B$5,SUM($W$6:$W80)-3,))</f>
        <v>#VALUE!</v>
      </c>
      <c r="AG80" s="439" t="e">
        <f ca="1">(OFFSET($B$5,SUM($W$6:$W80),)-OFFSET($B$5,SUM($W$6:$W80)-1,))</f>
        <v>#VALUE!</v>
      </c>
      <c r="AH80" s="439" t="e">
        <f ca="1">(OFFSET($B$5,SUM($W$6:$W80)-1,)-OFFSET($B$5,SUM($W$6:$W80)-2,))+(OFFSET($B$5,SUM($W$6:$W80)-3,)-OFFSET($B$5,SUM($W$6:$W80)-4,))+(OFFSET($B$5,SUM($W$6:$W80)-5,)-OFFSET($B$5,SUM($W$6:$W80)-6,))+(OFFSET($B$5,SUM($W$6:$W80)-7,)-OFFSET($B$5,SUM($W$6:$W80)-8,))+(OFFSET($B$5,SUM($W$6:$W80)-9,)-OFFSET($B$5,SUM($W$6:$W80)-10,))</f>
        <v>#REF!</v>
      </c>
      <c r="AI80" s="439" t="e">
        <f ca="1">(OFFSET($B$5,SUM($W$6:$W80)-1,)-OFFSET($B$5,SUM($W$6:$W80)-2,))+(OFFSET($B$5,SUM($W$6:$W80)-3,)-OFFSET($B$5,SUM($W$6:$W80)-4,))+(OFFSET($B$5,SUM($W$6:$W80)-5,)-OFFSET($B$5,SUM($W$6:$W80)-6,))+(OFFSET($B$5,SUM($W$6:$W80)-7,)-OFFSET($B$5,SUM($W$6:$W80)-8,))</f>
        <v>#REF!</v>
      </c>
      <c r="AJ80" s="439" t="e">
        <f ca="1">(OFFSET($B$5,SUM($W$6:$W80)-1,)-OFFSET($B$5,SUM($W$6:$W80)-2,))+(OFFSET($B$5,SUM($W$6:$W80)-3,)-OFFSET($B$5,SUM($W$6:$W80)-4,))+(OFFSET($B$5,SUM($W$6:$W80)-5,)-OFFSET($B$5,SUM($W$6:$W80)-6,))</f>
        <v>#REF!</v>
      </c>
      <c r="AK80" s="439">
        <f ca="1">(OFFSET($B$5,SUM($W$6:$W80)-1,)-OFFSET($B$5,SUM($W$6:$W80)-2,))+(OFFSET($B$5,SUM($W$6:$W80)-3,)-OFFSET($B$5,SUM($W$6:$W80)-4,))</f>
        <v>0</v>
      </c>
      <c r="AL80" s="439">
        <f ca="1">(OFFSET($B$5,SUM($W$6:$W80)-1,)-OFFSET($B$5,SUM($W$6:$W80)-2,))</f>
        <v>0</v>
      </c>
      <c r="AM80" s="433">
        <v>3.0833333333333299</v>
      </c>
    </row>
    <row r="81" spans="6:39" x14ac:dyDescent="0.25">
      <c r="F81" s="372">
        <v>44452</v>
      </c>
      <c r="G81" s="404">
        <f t="shared" si="46"/>
        <v>44452</v>
      </c>
      <c r="H81" s="389"/>
      <c r="I81" s="389"/>
      <c r="J81" s="390"/>
      <c r="K81" s="164"/>
      <c r="L81" s="60"/>
      <c r="T81" s="438">
        <f t="shared" si="48"/>
        <v>0</v>
      </c>
      <c r="U81" s="439" t="b">
        <f t="shared" si="49"/>
        <v>0</v>
      </c>
      <c r="V81" s="440" t="b">
        <f t="shared" si="50"/>
        <v>0</v>
      </c>
      <c r="W81" s="437">
        <f t="shared" si="51"/>
        <v>0</v>
      </c>
      <c r="X81" s="439">
        <f t="shared" si="52"/>
        <v>0</v>
      </c>
      <c r="Y81" s="439">
        <f t="shared" si="53"/>
        <v>0</v>
      </c>
      <c r="Z81" s="439">
        <f t="shared" si="26"/>
        <v>0</v>
      </c>
      <c r="AA81" s="439" t="e">
        <f ca="1">(OFFSET($B$5,SUM($W$6:$W81),)-OFFSET($B$5,(SUM($W$6:$W81)-SUM($W81:$W81)+1),))</f>
        <v>#VALUE!</v>
      </c>
      <c r="AB81" s="439" t="e">
        <f ca="1">(OFFSET($B$5,SUM($W$6:$W81),)-OFFSET($B$5,SUM($W$6:$W81)-1,))+(OFFSET($B$5,SUM($W$6:$W81)-2,)-OFFSET($B$5,SUM($W$6:$W81)-3,))+(OFFSET($B$5,SUM($W$6:$W81)-4,)-OFFSET($B$5,SUM($W$6:$W81)-5,))+(OFFSET($B$5,SUM($W$6:$W81)-6,)-OFFSET($B$5,SUM($W$6:$W81)-7,))+(OFFSET($B$5,SUM($W$6:$W81)-8,)-OFFSET($B$5,SUM($W$6:$W81)-9,))+(OFFSET($B$5,SUM($W$6:$W81)-10,)-OFFSET($B$5,SUM($W$6:$W81)-11,))</f>
        <v>#VALUE!</v>
      </c>
      <c r="AC81" s="439" t="e">
        <f ca="1">(OFFSET($B$5,SUM($W$6:$W81),)-OFFSET($B$5,SUM($W$6:$W81)-1,))+(OFFSET($B$5,SUM($W$6:$W81)-2,)-OFFSET($B$5,SUM($W$6:$W81)-3,))+(OFFSET($B$5,SUM($W$6:$W81)-4,)-OFFSET($B$5,SUM($W$6:$W81)-5,))+(OFFSET($B$5,SUM($W$6:$W81)-6,)-OFFSET($B$5,SUM($W$6:$W81)-7,))+(OFFSET($B$5,SUM($W$6:$W81)-8,)-OFFSET($B$5,SUM($W$6:$W81)-9,))</f>
        <v>#VALUE!</v>
      </c>
      <c r="AD81" s="439" t="e">
        <f ca="1">(OFFSET($B$5,SUM($W$6:$W81),)-OFFSET($B$5,SUM($W$6:$W81)-1,))+(OFFSET($B$5,SUM($W$6:$W81)-2,)-OFFSET($B$5,SUM($W$6:$W81)-3,))+(OFFSET($B$5,SUM($W$6:$W81)-4,)-OFFSET($B$5,SUM($W$6:$W81)-5,))+(OFFSET($B$5,SUM($W$6:$W81)-6,)-OFFSET($B$5,SUM($W$6:$W81)-7,))</f>
        <v>#VALUE!</v>
      </c>
      <c r="AE81" s="439" t="e">
        <f ca="1">(OFFSET($B$5,SUM($W$6:$W81),)-OFFSET($B$5,SUM($W$6:$W81)-1,))+(OFFSET($B$5,SUM($W$6:$W81)-2,)-OFFSET($B$5,SUM($W$6:$W81)-3,))+(OFFSET($B$5,SUM($W$6:$W81)-4,)-OFFSET($B$5,SUM($W$6:$W81)-5,))</f>
        <v>#VALUE!</v>
      </c>
      <c r="AF81" s="439" t="e">
        <f ca="1">(OFFSET($B$5,SUM($W$6:$W81),)-OFFSET($B$5,SUM($W$6:$W81)-1,))+(OFFSET($B$5,SUM($W$6:$W81)-2,)-OFFSET($B$5,SUM($W$6:$W81)-3,))</f>
        <v>#VALUE!</v>
      </c>
      <c r="AG81" s="439" t="e">
        <f ca="1">(OFFSET($B$5,SUM($W$6:$W81),)-OFFSET($B$5,SUM($W$6:$W81)-1,))</f>
        <v>#VALUE!</v>
      </c>
      <c r="AH81" s="439" t="e">
        <f ca="1">(OFFSET($B$5,SUM($W$6:$W81)-1,)-OFFSET($B$5,SUM($W$6:$W81)-2,))+(OFFSET($B$5,SUM($W$6:$W81)-3,)-OFFSET($B$5,SUM($W$6:$W81)-4,))+(OFFSET($B$5,SUM($W$6:$W81)-5,)-OFFSET($B$5,SUM($W$6:$W81)-6,))+(OFFSET($B$5,SUM($W$6:$W81)-7,)-OFFSET($B$5,SUM($W$6:$W81)-8,))+(OFFSET($B$5,SUM($W$6:$W81)-9,)-OFFSET($B$5,SUM($W$6:$W81)-10,))</f>
        <v>#REF!</v>
      </c>
      <c r="AI81" s="439" t="e">
        <f ca="1">(OFFSET($B$5,SUM($W$6:$W81)-1,)-OFFSET($B$5,SUM($W$6:$W81)-2,))+(OFFSET($B$5,SUM($W$6:$W81)-3,)-OFFSET($B$5,SUM($W$6:$W81)-4,))+(OFFSET($B$5,SUM($W$6:$W81)-5,)-OFFSET($B$5,SUM($W$6:$W81)-6,))+(OFFSET($B$5,SUM($W$6:$W81)-7,)-OFFSET($B$5,SUM($W$6:$W81)-8,))</f>
        <v>#REF!</v>
      </c>
      <c r="AJ81" s="439" t="e">
        <f ca="1">(OFFSET($B$5,SUM($W$6:$W81)-1,)-OFFSET($B$5,SUM($W$6:$W81)-2,))+(OFFSET($B$5,SUM($W$6:$W81)-3,)-OFFSET($B$5,SUM($W$6:$W81)-4,))+(OFFSET($B$5,SUM($W$6:$W81)-5,)-OFFSET($B$5,SUM($W$6:$W81)-6,))</f>
        <v>#REF!</v>
      </c>
      <c r="AK81" s="439">
        <f ca="1">(OFFSET($B$5,SUM($W$6:$W81)-1,)-OFFSET($B$5,SUM($W$6:$W81)-2,))+(OFFSET($B$5,SUM($W$6:$W81)-3,)-OFFSET($B$5,SUM($W$6:$W81)-4,))</f>
        <v>0</v>
      </c>
      <c r="AL81" s="439">
        <f ca="1">(OFFSET($B$5,SUM($W$6:$W81)-1,)-OFFSET($B$5,SUM($W$6:$W81)-2,))</f>
        <v>0</v>
      </c>
      <c r="AM81" s="433">
        <v>3.125</v>
      </c>
    </row>
    <row r="82" spans="6:39" x14ac:dyDescent="0.25">
      <c r="F82" s="372">
        <v>44453</v>
      </c>
      <c r="G82" s="370">
        <f t="shared" si="46"/>
        <v>44453</v>
      </c>
      <c r="H82" s="386">
        <f t="shared" ref="H82:H86" si="57">X82</f>
        <v>0</v>
      </c>
      <c r="I82" s="386">
        <f t="shared" ref="I82:I86" ca="1" si="58">IFERROR(H82+T82+OFFSET($L$69,MATCH(F82,$K$70:$K$98,0),0)-$W$2,H82-$W$2)</f>
        <v>-0.33333333333333331</v>
      </c>
      <c r="J82" s="386">
        <f ca="1">I82+J79</f>
        <v>-3.3333333333333335</v>
      </c>
      <c r="K82" s="164"/>
      <c r="L82" s="61"/>
      <c r="T82" s="438">
        <f t="shared" si="48"/>
        <v>0</v>
      </c>
      <c r="U82" s="439" t="b">
        <f t="shared" si="49"/>
        <v>0</v>
      </c>
      <c r="V82" s="440" t="b">
        <f t="shared" si="50"/>
        <v>0</v>
      </c>
      <c r="W82" s="437">
        <f t="shared" si="51"/>
        <v>0</v>
      </c>
      <c r="X82" s="439">
        <f t="shared" si="52"/>
        <v>0</v>
      </c>
      <c r="Y82" s="439">
        <f t="shared" si="53"/>
        <v>0</v>
      </c>
      <c r="Z82" s="439">
        <f t="shared" si="26"/>
        <v>0</v>
      </c>
      <c r="AA82" s="439" t="e">
        <f ca="1">(OFFSET($B$5,SUM($W$6:$W82),)-OFFSET($B$5,(SUM($W$6:$W82)-SUM($W82:$W82)+1),))</f>
        <v>#VALUE!</v>
      </c>
      <c r="AB82" s="439" t="e">
        <f ca="1">(OFFSET($B$5,SUM($W$6:$W82),)-OFFSET($B$5,SUM($W$6:$W82)-1,))+(OFFSET($B$5,SUM($W$6:$W82)-2,)-OFFSET($B$5,SUM($W$6:$W82)-3,))+(OFFSET($B$5,SUM($W$6:$W82)-4,)-OFFSET($B$5,SUM($W$6:$W82)-5,))+(OFFSET($B$5,SUM($W$6:$W82)-6,)-OFFSET($B$5,SUM($W$6:$W82)-7,))+(OFFSET($B$5,SUM($W$6:$W82)-8,)-OFFSET($B$5,SUM($W$6:$W82)-9,))+(OFFSET($B$5,SUM($W$6:$W82)-10,)-OFFSET($B$5,SUM($W$6:$W82)-11,))</f>
        <v>#VALUE!</v>
      </c>
      <c r="AC82" s="439" t="e">
        <f ca="1">(OFFSET($B$5,SUM($W$6:$W82),)-OFFSET($B$5,SUM($W$6:$W82)-1,))+(OFFSET($B$5,SUM($W$6:$W82)-2,)-OFFSET($B$5,SUM($W$6:$W82)-3,))+(OFFSET($B$5,SUM($W$6:$W82)-4,)-OFFSET($B$5,SUM($W$6:$W82)-5,))+(OFFSET($B$5,SUM($W$6:$W82)-6,)-OFFSET($B$5,SUM($W$6:$W82)-7,))+(OFFSET($B$5,SUM($W$6:$W82)-8,)-OFFSET($B$5,SUM($W$6:$W82)-9,))</f>
        <v>#VALUE!</v>
      </c>
      <c r="AD82" s="439" t="e">
        <f ca="1">(OFFSET($B$5,SUM($W$6:$W82),)-OFFSET($B$5,SUM($W$6:$W82)-1,))+(OFFSET($B$5,SUM($W$6:$W82)-2,)-OFFSET($B$5,SUM($W$6:$W82)-3,))+(OFFSET($B$5,SUM($W$6:$W82)-4,)-OFFSET($B$5,SUM($W$6:$W82)-5,))+(OFFSET($B$5,SUM($W$6:$W82)-6,)-OFFSET($B$5,SUM($W$6:$W82)-7,))</f>
        <v>#VALUE!</v>
      </c>
      <c r="AE82" s="439" t="e">
        <f ca="1">(OFFSET($B$5,SUM($W$6:$W82),)-OFFSET($B$5,SUM($W$6:$W82)-1,))+(OFFSET($B$5,SUM($W$6:$W82)-2,)-OFFSET($B$5,SUM($W$6:$W82)-3,))+(OFFSET($B$5,SUM($W$6:$W82)-4,)-OFFSET($B$5,SUM($W$6:$W82)-5,))</f>
        <v>#VALUE!</v>
      </c>
      <c r="AF82" s="439" t="e">
        <f ca="1">(OFFSET($B$5,SUM($W$6:$W82),)-OFFSET($B$5,SUM($W$6:$W82)-1,))+(OFFSET($B$5,SUM($W$6:$W82)-2,)-OFFSET($B$5,SUM($W$6:$W82)-3,))</f>
        <v>#VALUE!</v>
      </c>
      <c r="AG82" s="439" t="e">
        <f ca="1">(OFFSET($B$5,SUM($W$6:$W82),)-OFFSET($B$5,SUM($W$6:$W82)-1,))</f>
        <v>#VALUE!</v>
      </c>
      <c r="AH82" s="439" t="e">
        <f ca="1">(OFFSET($B$5,SUM($W$6:$W82)-1,)-OFFSET($B$5,SUM($W$6:$W82)-2,))+(OFFSET($B$5,SUM($W$6:$W82)-3,)-OFFSET($B$5,SUM($W$6:$W82)-4,))+(OFFSET($B$5,SUM($W$6:$W82)-5,)-OFFSET($B$5,SUM($W$6:$W82)-6,))+(OFFSET($B$5,SUM($W$6:$W82)-7,)-OFFSET($B$5,SUM($W$6:$W82)-8,))+(OFFSET($B$5,SUM($W$6:$W82)-9,)-OFFSET($B$5,SUM($W$6:$W82)-10,))</f>
        <v>#REF!</v>
      </c>
      <c r="AI82" s="439" t="e">
        <f ca="1">(OFFSET($B$5,SUM($W$6:$W82)-1,)-OFFSET($B$5,SUM($W$6:$W82)-2,))+(OFFSET($B$5,SUM($W$6:$W82)-3,)-OFFSET($B$5,SUM($W$6:$W82)-4,))+(OFFSET($B$5,SUM($W$6:$W82)-5,)-OFFSET($B$5,SUM($W$6:$W82)-6,))+(OFFSET($B$5,SUM($W$6:$W82)-7,)-OFFSET($B$5,SUM($W$6:$W82)-8,))</f>
        <v>#REF!</v>
      </c>
      <c r="AJ82" s="439" t="e">
        <f ca="1">(OFFSET($B$5,SUM($W$6:$W82)-1,)-OFFSET($B$5,SUM($W$6:$W82)-2,))+(OFFSET($B$5,SUM($W$6:$W82)-3,)-OFFSET($B$5,SUM($W$6:$W82)-4,))+(OFFSET($B$5,SUM($W$6:$W82)-5,)-OFFSET($B$5,SUM($W$6:$W82)-6,))</f>
        <v>#REF!</v>
      </c>
      <c r="AK82" s="439">
        <f ca="1">(OFFSET($B$5,SUM($W$6:$W82)-1,)-OFFSET($B$5,SUM($W$6:$W82)-2,))+(OFFSET($B$5,SUM($W$6:$W82)-3,)-OFFSET($B$5,SUM($W$6:$W82)-4,))</f>
        <v>0</v>
      </c>
      <c r="AL82" s="439">
        <f ca="1">(OFFSET($B$5,SUM($W$6:$W82)-1,)-OFFSET($B$5,SUM($W$6:$W82)-2,))</f>
        <v>0</v>
      </c>
      <c r="AM82" s="433">
        <v>3.1666666666666701</v>
      </c>
    </row>
    <row r="83" spans="6:39" x14ac:dyDescent="0.25">
      <c r="F83" s="372">
        <v>44454</v>
      </c>
      <c r="G83" s="370">
        <f t="shared" si="46"/>
        <v>44454</v>
      </c>
      <c r="H83" s="386">
        <f t="shared" si="57"/>
        <v>0</v>
      </c>
      <c r="I83" s="386">
        <f t="shared" ca="1" si="58"/>
        <v>-0.33333333333333331</v>
      </c>
      <c r="J83" s="386">
        <f ca="1">I83+J82</f>
        <v>-3.666666666666667</v>
      </c>
      <c r="K83" s="164"/>
      <c r="L83" s="60"/>
      <c r="T83" s="438">
        <f t="shared" si="48"/>
        <v>0</v>
      </c>
      <c r="U83" s="439" t="b">
        <f t="shared" si="49"/>
        <v>0</v>
      </c>
      <c r="V83" s="440" t="b">
        <f t="shared" si="50"/>
        <v>0</v>
      </c>
      <c r="W83" s="437">
        <f t="shared" si="51"/>
        <v>0</v>
      </c>
      <c r="X83" s="439">
        <f t="shared" si="52"/>
        <v>0</v>
      </c>
      <c r="Y83" s="439">
        <f t="shared" si="53"/>
        <v>0</v>
      </c>
      <c r="Z83" s="439">
        <f t="shared" si="26"/>
        <v>0</v>
      </c>
      <c r="AA83" s="439" t="e">
        <f ca="1">(OFFSET($B$5,SUM($W$6:$W83),)-OFFSET($B$5,(SUM($W$6:$W83)-SUM($W83:$W83)+1),))</f>
        <v>#VALUE!</v>
      </c>
      <c r="AB83" s="439" t="e">
        <f ca="1">(OFFSET($B$5,SUM($W$6:$W83),)-OFFSET($B$5,SUM($W$6:$W83)-1,))+(OFFSET($B$5,SUM($W$6:$W83)-2,)-OFFSET($B$5,SUM($W$6:$W83)-3,))+(OFFSET($B$5,SUM($W$6:$W83)-4,)-OFFSET($B$5,SUM($W$6:$W83)-5,))+(OFFSET($B$5,SUM($W$6:$W83)-6,)-OFFSET($B$5,SUM($W$6:$W83)-7,))+(OFFSET($B$5,SUM($W$6:$W83)-8,)-OFFSET($B$5,SUM($W$6:$W83)-9,))+(OFFSET($B$5,SUM($W$6:$W83)-10,)-OFFSET($B$5,SUM($W$6:$W83)-11,))</f>
        <v>#VALUE!</v>
      </c>
      <c r="AC83" s="439" t="e">
        <f ca="1">(OFFSET($B$5,SUM($W$6:$W83),)-OFFSET($B$5,SUM($W$6:$W83)-1,))+(OFFSET($B$5,SUM($W$6:$W83)-2,)-OFFSET($B$5,SUM($W$6:$W83)-3,))+(OFFSET($B$5,SUM($W$6:$W83)-4,)-OFFSET($B$5,SUM($W$6:$W83)-5,))+(OFFSET($B$5,SUM($W$6:$W83)-6,)-OFFSET($B$5,SUM($W$6:$W83)-7,))+(OFFSET($B$5,SUM($W$6:$W83)-8,)-OFFSET($B$5,SUM($W$6:$W83)-9,))</f>
        <v>#VALUE!</v>
      </c>
      <c r="AD83" s="439" t="e">
        <f ca="1">(OFFSET($B$5,SUM($W$6:$W83),)-OFFSET($B$5,SUM($W$6:$W83)-1,))+(OFFSET($B$5,SUM($W$6:$W83)-2,)-OFFSET($B$5,SUM($W$6:$W83)-3,))+(OFFSET($B$5,SUM($W$6:$W83)-4,)-OFFSET($B$5,SUM($W$6:$W83)-5,))+(OFFSET($B$5,SUM($W$6:$W83)-6,)-OFFSET($B$5,SUM($W$6:$W83)-7,))</f>
        <v>#VALUE!</v>
      </c>
      <c r="AE83" s="439" t="e">
        <f ca="1">(OFFSET($B$5,SUM($W$6:$W83),)-OFFSET($B$5,SUM($W$6:$W83)-1,))+(OFFSET($B$5,SUM($W$6:$W83)-2,)-OFFSET($B$5,SUM($W$6:$W83)-3,))+(OFFSET($B$5,SUM($W$6:$W83)-4,)-OFFSET($B$5,SUM($W$6:$W83)-5,))</f>
        <v>#VALUE!</v>
      </c>
      <c r="AF83" s="439" t="e">
        <f ca="1">(OFFSET($B$5,SUM($W$6:$W83),)-OFFSET($B$5,SUM($W$6:$W83)-1,))+(OFFSET($B$5,SUM($W$6:$W83)-2,)-OFFSET($B$5,SUM($W$6:$W83)-3,))</f>
        <v>#VALUE!</v>
      </c>
      <c r="AG83" s="439" t="e">
        <f ca="1">(OFFSET($B$5,SUM($W$6:$W83),)-OFFSET($B$5,SUM($W$6:$W83)-1,))</f>
        <v>#VALUE!</v>
      </c>
      <c r="AH83" s="439" t="e">
        <f ca="1">(OFFSET($B$5,SUM($W$6:$W83)-1,)-OFFSET($B$5,SUM($W$6:$W83)-2,))+(OFFSET($B$5,SUM($W$6:$W83)-3,)-OFFSET($B$5,SUM($W$6:$W83)-4,))+(OFFSET($B$5,SUM($W$6:$W83)-5,)-OFFSET($B$5,SUM($W$6:$W83)-6,))+(OFFSET($B$5,SUM($W$6:$W83)-7,)-OFFSET($B$5,SUM($W$6:$W83)-8,))+(OFFSET($B$5,SUM($W$6:$W83)-9,)-OFFSET($B$5,SUM($W$6:$W83)-10,))</f>
        <v>#REF!</v>
      </c>
      <c r="AI83" s="439" t="e">
        <f ca="1">(OFFSET($B$5,SUM($W$6:$W83)-1,)-OFFSET($B$5,SUM($W$6:$W83)-2,))+(OFFSET($B$5,SUM($W$6:$W83)-3,)-OFFSET($B$5,SUM($W$6:$W83)-4,))+(OFFSET($B$5,SUM($W$6:$W83)-5,)-OFFSET($B$5,SUM($W$6:$W83)-6,))+(OFFSET($B$5,SUM($W$6:$W83)-7,)-OFFSET($B$5,SUM($W$6:$W83)-8,))</f>
        <v>#REF!</v>
      </c>
      <c r="AJ83" s="439" t="e">
        <f ca="1">(OFFSET($B$5,SUM($W$6:$W83)-1,)-OFFSET($B$5,SUM($W$6:$W83)-2,))+(OFFSET($B$5,SUM($W$6:$W83)-3,)-OFFSET($B$5,SUM($W$6:$W83)-4,))+(OFFSET($B$5,SUM($W$6:$W83)-5,)-OFFSET($B$5,SUM($W$6:$W83)-6,))</f>
        <v>#REF!</v>
      </c>
      <c r="AK83" s="439">
        <f ca="1">(OFFSET($B$5,SUM($W$6:$W83)-1,)-OFFSET($B$5,SUM($W$6:$W83)-2,))+(OFFSET($B$5,SUM($W$6:$W83)-3,)-OFFSET($B$5,SUM($W$6:$W83)-4,))</f>
        <v>0</v>
      </c>
      <c r="AL83" s="439">
        <f ca="1">(OFFSET($B$5,SUM($W$6:$W83)-1,)-OFFSET($B$5,SUM($W$6:$W83)-2,))</f>
        <v>0</v>
      </c>
      <c r="AM83" s="433">
        <v>3.2083333333333299</v>
      </c>
    </row>
    <row r="84" spans="6:39" x14ac:dyDescent="0.25">
      <c r="F84" s="372">
        <v>44455</v>
      </c>
      <c r="G84" s="370">
        <f t="shared" si="46"/>
        <v>44455</v>
      </c>
      <c r="H84" s="386">
        <f t="shared" si="57"/>
        <v>0</v>
      </c>
      <c r="I84" s="386">
        <f t="shared" ca="1" si="58"/>
        <v>-0.33333333333333331</v>
      </c>
      <c r="J84" s="386">
        <f t="shared" ref="J84:J86" ca="1" si="59">I84+J83</f>
        <v>-4</v>
      </c>
      <c r="K84" s="164"/>
      <c r="L84" s="60"/>
      <c r="T84" s="438">
        <f t="shared" si="48"/>
        <v>0</v>
      </c>
      <c r="U84" s="439" t="b">
        <f t="shared" si="49"/>
        <v>0</v>
      </c>
      <c r="V84" s="440" t="b">
        <f t="shared" si="50"/>
        <v>0</v>
      </c>
      <c r="W84" s="437">
        <f t="shared" si="51"/>
        <v>0</v>
      </c>
      <c r="X84" s="439">
        <f t="shared" si="52"/>
        <v>0</v>
      </c>
      <c r="Y84" s="439">
        <f t="shared" si="53"/>
        <v>0</v>
      </c>
      <c r="Z84" s="439">
        <f t="shared" si="26"/>
        <v>0</v>
      </c>
      <c r="AA84" s="439" t="e">
        <f ca="1">(OFFSET($B$5,SUM($W$6:$W84),)-OFFSET($B$5,(SUM($W$6:$W84)-SUM($W84:$W84)+1),))</f>
        <v>#VALUE!</v>
      </c>
      <c r="AB84" s="439" t="e">
        <f ca="1">(OFFSET($B$5,SUM($W$6:$W84),)-OFFSET($B$5,SUM($W$6:$W84)-1,))+(OFFSET($B$5,SUM($W$6:$W84)-2,)-OFFSET($B$5,SUM($W$6:$W84)-3,))+(OFFSET($B$5,SUM($W$6:$W84)-4,)-OFFSET($B$5,SUM($W$6:$W84)-5,))+(OFFSET($B$5,SUM($W$6:$W84)-6,)-OFFSET($B$5,SUM($W$6:$W84)-7,))+(OFFSET($B$5,SUM($W$6:$W84)-8,)-OFFSET($B$5,SUM($W$6:$W84)-9,))+(OFFSET($B$5,SUM($W$6:$W84)-10,)-OFFSET($B$5,SUM($W$6:$W84)-11,))</f>
        <v>#VALUE!</v>
      </c>
      <c r="AC84" s="439" t="e">
        <f ca="1">(OFFSET($B$5,SUM($W$6:$W84),)-OFFSET($B$5,SUM($W$6:$W84)-1,))+(OFFSET($B$5,SUM($W$6:$W84)-2,)-OFFSET($B$5,SUM($W$6:$W84)-3,))+(OFFSET($B$5,SUM($W$6:$W84)-4,)-OFFSET($B$5,SUM($W$6:$W84)-5,))+(OFFSET($B$5,SUM($W$6:$W84)-6,)-OFFSET($B$5,SUM($W$6:$W84)-7,))+(OFFSET($B$5,SUM($W$6:$W84)-8,)-OFFSET($B$5,SUM($W$6:$W84)-9,))</f>
        <v>#VALUE!</v>
      </c>
      <c r="AD84" s="439" t="e">
        <f ca="1">(OFFSET($B$5,SUM($W$6:$W84),)-OFFSET($B$5,SUM($W$6:$W84)-1,))+(OFFSET($B$5,SUM($W$6:$W84)-2,)-OFFSET($B$5,SUM($W$6:$W84)-3,))+(OFFSET($B$5,SUM($W$6:$W84)-4,)-OFFSET($B$5,SUM($W$6:$W84)-5,))+(OFFSET($B$5,SUM($W$6:$W84)-6,)-OFFSET($B$5,SUM($W$6:$W84)-7,))</f>
        <v>#VALUE!</v>
      </c>
      <c r="AE84" s="439" t="e">
        <f ca="1">(OFFSET($B$5,SUM($W$6:$W84),)-OFFSET($B$5,SUM($W$6:$W84)-1,))+(OFFSET($B$5,SUM($W$6:$W84)-2,)-OFFSET($B$5,SUM($W$6:$W84)-3,))+(OFFSET($B$5,SUM($W$6:$W84)-4,)-OFFSET($B$5,SUM($W$6:$W84)-5,))</f>
        <v>#VALUE!</v>
      </c>
      <c r="AF84" s="439" t="e">
        <f ca="1">(OFFSET($B$5,SUM($W$6:$W84),)-OFFSET($B$5,SUM($W$6:$W84)-1,))+(OFFSET($B$5,SUM($W$6:$W84)-2,)-OFFSET($B$5,SUM($W$6:$W84)-3,))</f>
        <v>#VALUE!</v>
      </c>
      <c r="AG84" s="439" t="e">
        <f ca="1">(OFFSET($B$5,SUM($W$6:$W84),)-OFFSET($B$5,SUM($W$6:$W84)-1,))</f>
        <v>#VALUE!</v>
      </c>
      <c r="AH84" s="439" t="e">
        <f ca="1">(OFFSET($B$5,SUM($W$6:$W84)-1,)-OFFSET($B$5,SUM($W$6:$W84)-2,))+(OFFSET($B$5,SUM($W$6:$W84)-3,)-OFFSET($B$5,SUM($W$6:$W84)-4,))+(OFFSET($B$5,SUM($W$6:$W84)-5,)-OFFSET($B$5,SUM($W$6:$W84)-6,))+(OFFSET($B$5,SUM($W$6:$W84)-7,)-OFFSET($B$5,SUM($W$6:$W84)-8,))+(OFFSET($B$5,SUM($W$6:$W84)-9,)-OFFSET($B$5,SUM($W$6:$W84)-10,))</f>
        <v>#REF!</v>
      </c>
      <c r="AI84" s="439" t="e">
        <f ca="1">(OFFSET($B$5,SUM($W$6:$W84)-1,)-OFFSET($B$5,SUM($W$6:$W84)-2,))+(OFFSET($B$5,SUM($W$6:$W84)-3,)-OFFSET($B$5,SUM($W$6:$W84)-4,))+(OFFSET($B$5,SUM($W$6:$W84)-5,)-OFFSET($B$5,SUM($W$6:$W84)-6,))+(OFFSET($B$5,SUM($W$6:$W84)-7,)-OFFSET($B$5,SUM($W$6:$W84)-8,))</f>
        <v>#REF!</v>
      </c>
      <c r="AJ84" s="439" t="e">
        <f ca="1">(OFFSET($B$5,SUM($W$6:$W84)-1,)-OFFSET($B$5,SUM($W$6:$W84)-2,))+(OFFSET($B$5,SUM($W$6:$W84)-3,)-OFFSET($B$5,SUM($W$6:$W84)-4,))+(OFFSET($B$5,SUM($W$6:$W84)-5,)-OFFSET($B$5,SUM($W$6:$W84)-6,))</f>
        <v>#REF!</v>
      </c>
      <c r="AK84" s="439">
        <f ca="1">(OFFSET($B$5,SUM($W$6:$W84)-1,)-OFFSET($B$5,SUM($W$6:$W84)-2,))+(OFFSET($B$5,SUM($W$6:$W84)-3,)-OFFSET($B$5,SUM($W$6:$W84)-4,))</f>
        <v>0</v>
      </c>
      <c r="AL84" s="439">
        <f ca="1">(OFFSET($B$5,SUM($W$6:$W84)-1,)-OFFSET($B$5,SUM($W$6:$W84)-2,))</f>
        <v>0</v>
      </c>
      <c r="AM84" s="433">
        <v>3.25</v>
      </c>
    </row>
    <row r="85" spans="6:39" x14ac:dyDescent="0.25">
      <c r="F85" s="372">
        <v>44456</v>
      </c>
      <c r="G85" s="370">
        <f t="shared" si="46"/>
        <v>44456</v>
      </c>
      <c r="H85" s="386">
        <f t="shared" si="57"/>
        <v>0</v>
      </c>
      <c r="I85" s="386">
        <f t="shared" ca="1" si="58"/>
        <v>-0.33333333333333331</v>
      </c>
      <c r="J85" s="386">
        <f t="shared" ca="1" si="59"/>
        <v>-4.333333333333333</v>
      </c>
      <c r="K85" s="164"/>
      <c r="L85" s="60"/>
      <c r="T85" s="438">
        <f t="shared" si="48"/>
        <v>0</v>
      </c>
      <c r="U85" s="439" t="b">
        <f t="shared" si="49"/>
        <v>0</v>
      </c>
      <c r="V85" s="440" t="b">
        <f t="shared" si="50"/>
        <v>0</v>
      </c>
      <c r="W85" s="437">
        <f t="shared" si="51"/>
        <v>0</v>
      </c>
      <c r="X85" s="439">
        <f t="shared" si="52"/>
        <v>0</v>
      </c>
      <c r="Y85" s="439">
        <f t="shared" si="53"/>
        <v>0</v>
      </c>
      <c r="Z85" s="439">
        <f t="shared" si="26"/>
        <v>0</v>
      </c>
      <c r="AA85" s="439" t="e">
        <f ca="1">(OFFSET($B$5,SUM($W$6:$W85),)-OFFSET($B$5,(SUM($W$6:$W85)-SUM($W85:$W85)+1),))</f>
        <v>#VALUE!</v>
      </c>
      <c r="AB85" s="439" t="e">
        <f ca="1">(OFFSET($B$5,SUM($W$6:$W85),)-OFFSET($B$5,SUM($W$6:$W85)-1,))+(OFFSET($B$5,SUM($W$6:$W85)-2,)-OFFSET($B$5,SUM($W$6:$W85)-3,))+(OFFSET($B$5,SUM($W$6:$W85)-4,)-OFFSET($B$5,SUM($W$6:$W85)-5,))+(OFFSET($B$5,SUM($W$6:$W85)-6,)-OFFSET($B$5,SUM($W$6:$W85)-7,))+(OFFSET($B$5,SUM($W$6:$W85)-8,)-OFFSET($B$5,SUM($W$6:$W85)-9,))+(OFFSET($B$5,SUM($W$6:$W85)-10,)-OFFSET($B$5,SUM($W$6:$W85)-11,))</f>
        <v>#VALUE!</v>
      </c>
      <c r="AC85" s="439" t="e">
        <f ca="1">(OFFSET($B$5,SUM($W$6:$W85),)-OFFSET($B$5,SUM($W$6:$W85)-1,))+(OFFSET($B$5,SUM($W$6:$W85)-2,)-OFFSET($B$5,SUM($W$6:$W85)-3,))+(OFFSET($B$5,SUM($W$6:$W85)-4,)-OFFSET($B$5,SUM($W$6:$W85)-5,))+(OFFSET($B$5,SUM($W$6:$W85)-6,)-OFFSET($B$5,SUM($W$6:$W85)-7,))+(OFFSET($B$5,SUM($W$6:$W85)-8,)-OFFSET($B$5,SUM($W$6:$W85)-9,))</f>
        <v>#VALUE!</v>
      </c>
      <c r="AD85" s="439" t="e">
        <f ca="1">(OFFSET($B$5,SUM($W$6:$W85),)-OFFSET($B$5,SUM($W$6:$W85)-1,))+(OFFSET($B$5,SUM($W$6:$W85)-2,)-OFFSET($B$5,SUM($W$6:$W85)-3,))+(OFFSET($B$5,SUM($W$6:$W85)-4,)-OFFSET($B$5,SUM($W$6:$W85)-5,))+(OFFSET($B$5,SUM($W$6:$W85)-6,)-OFFSET($B$5,SUM($W$6:$W85)-7,))</f>
        <v>#VALUE!</v>
      </c>
      <c r="AE85" s="439" t="e">
        <f ca="1">(OFFSET($B$5,SUM($W$6:$W85),)-OFFSET($B$5,SUM($W$6:$W85)-1,))+(OFFSET($B$5,SUM($W$6:$W85)-2,)-OFFSET($B$5,SUM($W$6:$W85)-3,))+(OFFSET($B$5,SUM($W$6:$W85)-4,)-OFFSET($B$5,SUM($W$6:$W85)-5,))</f>
        <v>#VALUE!</v>
      </c>
      <c r="AF85" s="439" t="e">
        <f ca="1">(OFFSET($B$5,SUM($W$6:$W85),)-OFFSET($B$5,SUM($W$6:$W85)-1,))+(OFFSET($B$5,SUM($W$6:$W85)-2,)-OFFSET($B$5,SUM($W$6:$W85)-3,))</f>
        <v>#VALUE!</v>
      </c>
      <c r="AG85" s="439" t="e">
        <f ca="1">(OFFSET($B$5,SUM($W$6:$W85),)-OFFSET($B$5,SUM($W$6:$W85)-1,))</f>
        <v>#VALUE!</v>
      </c>
      <c r="AH85" s="439" t="e">
        <f ca="1">(OFFSET($B$5,SUM($W$6:$W85)-1,)-OFFSET($B$5,SUM($W$6:$W85)-2,))+(OFFSET($B$5,SUM($W$6:$W85)-3,)-OFFSET($B$5,SUM($W$6:$W85)-4,))+(OFFSET($B$5,SUM($W$6:$W85)-5,)-OFFSET($B$5,SUM($W$6:$W85)-6,))+(OFFSET($B$5,SUM($W$6:$W85)-7,)-OFFSET($B$5,SUM($W$6:$W85)-8,))+(OFFSET($B$5,SUM($W$6:$W85)-9,)-OFFSET($B$5,SUM($W$6:$W85)-10,))</f>
        <v>#REF!</v>
      </c>
      <c r="AI85" s="439" t="e">
        <f ca="1">(OFFSET($B$5,SUM($W$6:$W85)-1,)-OFFSET($B$5,SUM($W$6:$W85)-2,))+(OFFSET($B$5,SUM($W$6:$W85)-3,)-OFFSET($B$5,SUM($W$6:$W85)-4,))+(OFFSET($B$5,SUM($W$6:$W85)-5,)-OFFSET($B$5,SUM($W$6:$W85)-6,))+(OFFSET($B$5,SUM($W$6:$W85)-7,)-OFFSET($B$5,SUM($W$6:$W85)-8,))</f>
        <v>#REF!</v>
      </c>
      <c r="AJ85" s="439" t="e">
        <f ca="1">(OFFSET($B$5,SUM($W$6:$W85)-1,)-OFFSET($B$5,SUM($W$6:$W85)-2,))+(OFFSET($B$5,SUM($W$6:$W85)-3,)-OFFSET($B$5,SUM($W$6:$W85)-4,))+(OFFSET($B$5,SUM($W$6:$W85)-5,)-OFFSET($B$5,SUM($W$6:$W85)-6,))</f>
        <v>#REF!</v>
      </c>
      <c r="AK85" s="439">
        <f ca="1">(OFFSET($B$5,SUM($W$6:$W85)-1,)-OFFSET($B$5,SUM($W$6:$W85)-2,))+(OFFSET($B$5,SUM($W$6:$W85)-3,)-OFFSET($B$5,SUM($W$6:$W85)-4,))</f>
        <v>0</v>
      </c>
      <c r="AL85" s="439">
        <f ca="1">(OFFSET($B$5,SUM($W$6:$W85)-1,)-OFFSET($B$5,SUM($W$6:$W85)-2,))</f>
        <v>0</v>
      </c>
      <c r="AM85" s="433">
        <v>3.2916666666666701</v>
      </c>
    </row>
    <row r="86" spans="6:39" x14ac:dyDescent="0.25">
      <c r="F86" s="372">
        <v>44457</v>
      </c>
      <c r="G86" s="370">
        <f t="shared" si="46"/>
        <v>44457</v>
      </c>
      <c r="H86" s="386">
        <f t="shared" si="57"/>
        <v>0</v>
      </c>
      <c r="I86" s="386">
        <f t="shared" ca="1" si="58"/>
        <v>-0.33333333333333331</v>
      </c>
      <c r="J86" s="386">
        <f t="shared" ca="1" si="59"/>
        <v>-4.6666666666666661</v>
      </c>
      <c r="K86" s="164"/>
      <c r="L86" s="60"/>
      <c r="T86" s="438">
        <f t="shared" si="48"/>
        <v>0</v>
      </c>
      <c r="U86" s="439" t="b">
        <f t="shared" si="49"/>
        <v>0</v>
      </c>
      <c r="V86" s="440" t="b">
        <f t="shared" si="50"/>
        <v>0</v>
      </c>
      <c r="W86" s="437">
        <f t="shared" si="51"/>
        <v>0</v>
      </c>
      <c r="X86" s="439">
        <f t="shared" si="52"/>
        <v>0</v>
      </c>
      <c r="Y86" s="439">
        <f t="shared" si="53"/>
        <v>0</v>
      </c>
      <c r="Z86" s="439">
        <f t="shared" si="26"/>
        <v>0</v>
      </c>
      <c r="AA86" s="439" t="e">
        <f ca="1">(OFFSET($B$5,SUM($W$6:$W86),)-OFFSET($B$5,(SUM($W$6:$W86)-SUM($W86:$W86)+1),))</f>
        <v>#VALUE!</v>
      </c>
      <c r="AB86" s="439" t="e">
        <f ca="1">(OFFSET($B$5,SUM($W$6:$W86),)-OFFSET($B$5,SUM($W$6:$W86)-1,))+(OFFSET($B$5,SUM($W$6:$W86)-2,)-OFFSET($B$5,SUM($W$6:$W86)-3,))+(OFFSET($B$5,SUM($W$6:$W86)-4,)-OFFSET($B$5,SUM($W$6:$W86)-5,))+(OFFSET($B$5,SUM($W$6:$W86)-6,)-OFFSET($B$5,SUM($W$6:$W86)-7,))+(OFFSET($B$5,SUM($W$6:$W86)-8,)-OFFSET($B$5,SUM($W$6:$W86)-9,))+(OFFSET($B$5,SUM($W$6:$W86)-10,)-OFFSET($B$5,SUM($W$6:$W86)-11,))</f>
        <v>#VALUE!</v>
      </c>
      <c r="AC86" s="439" t="e">
        <f ca="1">(OFFSET($B$5,SUM($W$6:$W86),)-OFFSET($B$5,SUM($W$6:$W86)-1,))+(OFFSET($B$5,SUM($W$6:$W86)-2,)-OFFSET($B$5,SUM($W$6:$W86)-3,))+(OFFSET($B$5,SUM($W$6:$W86)-4,)-OFFSET($B$5,SUM($W$6:$W86)-5,))+(OFFSET($B$5,SUM($W$6:$W86)-6,)-OFFSET($B$5,SUM($W$6:$W86)-7,))+(OFFSET($B$5,SUM($W$6:$W86)-8,)-OFFSET($B$5,SUM($W$6:$W86)-9,))</f>
        <v>#VALUE!</v>
      </c>
      <c r="AD86" s="439" t="e">
        <f ca="1">(OFFSET($B$5,SUM($W$6:$W86),)-OFFSET($B$5,SUM($W$6:$W86)-1,))+(OFFSET($B$5,SUM($W$6:$W86)-2,)-OFFSET($B$5,SUM($W$6:$W86)-3,))+(OFFSET($B$5,SUM($W$6:$W86)-4,)-OFFSET($B$5,SUM($W$6:$W86)-5,))+(OFFSET($B$5,SUM($W$6:$W86)-6,)-OFFSET($B$5,SUM($W$6:$W86)-7,))</f>
        <v>#VALUE!</v>
      </c>
      <c r="AE86" s="439" t="e">
        <f ca="1">(OFFSET($B$5,SUM($W$6:$W86),)-OFFSET($B$5,SUM($W$6:$W86)-1,))+(OFFSET($B$5,SUM($W$6:$W86)-2,)-OFFSET($B$5,SUM($W$6:$W86)-3,))+(OFFSET($B$5,SUM($W$6:$W86)-4,)-OFFSET($B$5,SUM($W$6:$W86)-5,))</f>
        <v>#VALUE!</v>
      </c>
      <c r="AF86" s="439" t="e">
        <f ca="1">(OFFSET($B$5,SUM($W$6:$W86),)-OFFSET($B$5,SUM($W$6:$W86)-1,))+(OFFSET($B$5,SUM($W$6:$W86)-2,)-OFFSET($B$5,SUM($W$6:$W86)-3,))</f>
        <v>#VALUE!</v>
      </c>
      <c r="AG86" s="439" t="e">
        <f ca="1">(OFFSET($B$5,SUM($W$6:$W86),)-OFFSET($B$5,SUM($W$6:$W86)-1,))</f>
        <v>#VALUE!</v>
      </c>
      <c r="AH86" s="439" t="e">
        <f ca="1">(OFFSET($B$5,SUM($W$6:$W86)-1,)-OFFSET($B$5,SUM($W$6:$W86)-2,))+(OFFSET($B$5,SUM($W$6:$W86)-3,)-OFFSET($B$5,SUM($W$6:$W86)-4,))+(OFFSET($B$5,SUM($W$6:$W86)-5,)-OFFSET($B$5,SUM($W$6:$W86)-6,))+(OFFSET($B$5,SUM($W$6:$W86)-7,)-OFFSET($B$5,SUM($W$6:$W86)-8,))+(OFFSET($B$5,SUM($W$6:$W86)-9,)-OFFSET($B$5,SUM($W$6:$W86)-10,))</f>
        <v>#REF!</v>
      </c>
      <c r="AI86" s="439" t="e">
        <f ca="1">(OFFSET($B$5,SUM($W$6:$W86)-1,)-OFFSET($B$5,SUM($W$6:$W86)-2,))+(OFFSET($B$5,SUM($W$6:$W86)-3,)-OFFSET($B$5,SUM($W$6:$W86)-4,))+(OFFSET($B$5,SUM($W$6:$W86)-5,)-OFFSET($B$5,SUM($W$6:$W86)-6,))+(OFFSET($B$5,SUM($W$6:$W86)-7,)-OFFSET($B$5,SUM($W$6:$W86)-8,))</f>
        <v>#REF!</v>
      </c>
      <c r="AJ86" s="439" t="e">
        <f ca="1">(OFFSET($B$5,SUM($W$6:$W86)-1,)-OFFSET($B$5,SUM($W$6:$W86)-2,))+(OFFSET($B$5,SUM($W$6:$W86)-3,)-OFFSET($B$5,SUM($W$6:$W86)-4,))+(OFFSET($B$5,SUM($W$6:$W86)-5,)-OFFSET($B$5,SUM($W$6:$W86)-6,))</f>
        <v>#REF!</v>
      </c>
      <c r="AK86" s="439">
        <f ca="1">(OFFSET($B$5,SUM($W$6:$W86)-1,)-OFFSET($B$5,SUM($W$6:$W86)-2,))+(OFFSET($B$5,SUM($W$6:$W86)-3,)-OFFSET($B$5,SUM($W$6:$W86)-4,))</f>
        <v>0</v>
      </c>
      <c r="AL86" s="439">
        <f ca="1">(OFFSET($B$5,SUM($W$6:$W86)-1,)-OFFSET($B$5,SUM($W$6:$W86)-2,))</f>
        <v>0</v>
      </c>
      <c r="AM86" s="433">
        <v>3.3333333333333299</v>
      </c>
    </row>
    <row r="87" spans="6:39" x14ac:dyDescent="0.25">
      <c r="F87" s="372">
        <v>44458</v>
      </c>
      <c r="G87" s="404">
        <f t="shared" si="46"/>
        <v>44458</v>
      </c>
      <c r="H87" s="389"/>
      <c r="I87" s="389"/>
      <c r="J87" s="390"/>
      <c r="K87" s="164"/>
      <c r="L87" s="60"/>
      <c r="T87" s="438">
        <f t="shared" si="48"/>
        <v>0</v>
      </c>
      <c r="U87" s="439" t="b">
        <f t="shared" si="49"/>
        <v>0</v>
      </c>
      <c r="V87" s="440" t="b">
        <f t="shared" si="50"/>
        <v>0</v>
      </c>
      <c r="W87" s="437">
        <f t="shared" si="51"/>
        <v>0</v>
      </c>
      <c r="X87" s="439">
        <f t="shared" si="52"/>
        <v>0</v>
      </c>
      <c r="Y87" s="439">
        <f t="shared" si="53"/>
        <v>0</v>
      </c>
      <c r="Z87" s="439">
        <f t="shared" si="26"/>
        <v>0</v>
      </c>
      <c r="AA87" s="439" t="e">
        <f ca="1">(OFFSET($B$5,SUM($W$6:$W87),)-OFFSET($B$5,(SUM($W$6:$W87)-SUM($W87:$W87)+1),))</f>
        <v>#VALUE!</v>
      </c>
      <c r="AB87" s="439" t="e">
        <f ca="1">(OFFSET($B$5,SUM($W$6:$W87),)-OFFSET($B$5,SUM($W$6:$W87)-1,))+(OFFSET($B$5,SUM($W$6:$W87)-2,)-OFFSET($B$5,SUM($W$6:$W87)-3,))+(OFFSET($B$5,SUM($W$6:$W87)-4,)-OFFSET($B$5,SUM($W$6:$W87)-5,))+(OFFSET($B$5,SUM($W$6:$W87)-6,)-OFFSET($B$5,SUM($W$6:$W87)-7,))+(OFFSET($B$5,SUM($W$6:$W87)-8,)-OFFSET($B$5,SUM($W$6:$W87)-9,))+(OFFSET($B$5,SUM($W$6:$W87)-10,)-OFFSET($B$5,SUM($W$6:$W87)-11,))</f>
        <v>#VALUE!</v>
      </c>
      <c r="AC87" s="439" t="e">
        <f ca="1">(OFFSET($B$5,SUM($W$6:$W87),)-OFFSET($B$5,SUM($W$6:$W87)-1,))+(OFFSET($B$5,SUM($W$6:$W87)-2,)-OFFSET($B$5,SUM($W$6:$W87)-3,))+(OFFSET($B$5,SUM($W$6:$W87)-4,)-OFFSET($B$5,SUM($W$6:$W87)-5,))+(OFFSET($B$5,SUM($W$6:$W87)-6,)-OFFSET($B$5,SUM($W$6:$W87)-7,))+(OFFSET($B$5,SUM($W$6:$W87)-8,)-OFFSET($B$5,SUM($W$6:$W87)-9,))</f>
        <v>#VALUE!</v>
      </c>
      <c r="AD87" s="439" t="e">
        <f ca="1">(OFFSET($B$5,SUM($W$6:$W87),)-OFFSET($B$5,SUM($W$6:$W87)-1,))+(OFFSET($B$5,SUM($W$6:$W87)-2,)-OFFSET($B$5,SUM($W$6:$W87)-3,))+(OFFSET($B$5,SUM($W$6:$W87)-4,)-OFFSET($B$5,SUM($W$6:$W87)-5,))+(OFFSET($B$5,SUM($W$6:$W87)-6,)-OFFSET($B$5,SUM($W$6:$W87)-7,))</f>
        <v>#VALUE!</v>
      </c>
      <c r="AE87" s="439" t="e">
        <f ca="1">(OFFSET($B$5,SUM($W$6:$W87),)-OFFSET($B$5,SUM($W$6:$W87)-1,))+(OFFSET($B$5,SUM($W$6:$W87)-2,)-OFFSET($B$5,SUM($W$6:$W87)-3,))+(OFFSET($B$5,SUM($W$6:$W87)-4,)-OFFSET($B$5,SUM($W$6:$W87)-5,))</f>
        <v>#VALUE!</v>
      </c>
      <c r="AF87" s="439" t="e">
        <f ca="1">(OFFSET($B$5,SUM($W$6:$W87),)-OFFSET($B$5,SUM($W$6:$W87)-1,))+(OFFSET($B$5,SUM($W$6:$W87)-2,)-OFFSET($B$5,SUM($W$6:$W87)-3,))</f>
        <v>#VALUE!</v>
      </c>
      <c r="AG87" s="439" t="e">
        <f ca="1">(OFFSET($B$5,SUM($W$6:$W87),)-OFFSET($B$5,SUM($W$6:$W87)-1,))</f>
        <v>#VALUE!</v>
      </c>
      <c r="AH87" s="439" t="e">
        <f ca="1">(OFFSET($B$5,SUM($W$6:$W87)-1,)-OFFSET($B$5,SUM($W$6:$W87)-2,))+(OFFSET($B$5,SUM($W$6:$W87)-3,)-OFFSET($B$5,SUM($W$6:$W87)-4,))+(OFFSET($B$5,SUM($W$6:$W87)-5,)-OFFSET($B$5,SUM($W$6:$W87)-6,))+(OFFSET($B$5,SUM($W$6:$W87)-7,)-OFFSET($B$5,SUM($W$6:$W87)-8,))+(OFFSET($B$5,SUM($W$6:$W87)-9,)-OFFSET($B$5,SUM($W$6:$W87)-10,))</f>
        <v>#REF!</v>
      </c>
      <c r="AI87" s="439" t="e">
        <f ca="1">(OFFSET($B$5,SUM($W$6:$W87)-1,)-OFFSET($B$5,SUM($W$6:$W87)-2,))+(OFFSET($B$5,SUM($W$6:$W87)-3,)-OFFSET($B$5,SUM($W$6:$W87)-4,))+(OFFSET($B$5,SUM($W$6:$W87)-5,)-OFFSET($B$5,SUM($W$6:$W87)-6,))+(OFFSET($B$5,SUM($W$6:$W87)-7,)-OFFSET($B$5,SUM($W$6:$W87)-8,))</f>
        <v>#REF!</v>
      </c>
      <c r="AJ87" s="439" t="e">
        <f ca="1">(OFFSET($B$5,SUM($W$6:$W87)-1,)-OFFSET($B$5,SUM($W$6:$W87)-2,))+(OFFSET($B$5,SUM($W$6:$W87)-3,)-OFFSET($B$5,SUM($W$6:$W87)-4,))+(OFFSET($B$5,SUM($W$6:$W87)-5,)-OFFSET($B$5,SUM($W$6:$W87)-6,))</f>
        <v>#REF!</v>
      </c>
      <c r="AK87" s="439">
        <f ca="1">(OFFSET($B$5,SUM($W$6:$W87)-1,)-OFFSET($B$5,SUM($W$6:$W87)-2,))+(OFFSET($B$5,SUM($W$6:$W87)-3,)-OFFSET($B$5,SUM($W$6:$W87)-4,))</f>
        <v>0</v>
      </c>
      <c r="AL87" s="439">
        <f ca="1">(OFFSET($B$5,SUM($W$6:$W87)-1,)-OFFSET($B$5,SUM($W$6:$W87)-2,))</f>
        <v>0</v>
      </c>
      <c r="AM87" s="433">
        <v>3.375</v>
      </c>
    </row>
    <row r="88" spans="6:39" x14ac:dyDescent="0.25">
      <c r="F88" s="372">
        <v>44459</v>
      </c>
      <c r="G88" s="404">
        <f t="shared" si="46"/>
        <v>44459</v>
      </c>
      <c r="H88" s="389"/>
      <c r="I88" s="389"/>
      <c r="J88" s="390"/>
      <c r="K88" s="164"/>
      <c r="L88" s="60"/>
      <c r="T88" s="438">
        <f t="shared" si="48"/>
        <v>0</v>
      </c>
      <c r="U88" s="439" t="b">
        <f t="shared" si="49"/>
        <v>0</v>
      </c>
      <c r="V88" s="440" t="b">
        <f t="shared" si="50"/>
        <v>0</v>
      </c>
      <c r="W88" s="437">
        <f t="shared" si="51"/>
        <v>0</v>
      </c>
      <c r="X88" s="439">
        <f t="shared" si="52"/>
        <v>0</v>
      </c>
      <c r="Y88" s="439">
        <f t="shared" si="53"/>
        <v>0</v>
      </c>
      <c r="Z88" s="439">
        <f t="shared" si="26"/>
        <v>0</v>
      </c>
      <c r="AA88" s="439" t="e">
        <f ca="1">(OFFSET($B$5,SUM($W$6:$W88),)-OFFSET($B$5,(SUM($W$6:$W88)-SUM($W88:$W88)+1),))</f>
        <v>#VALUE!</v>
      </c>
      <c r="AB88" s="439" t="e">
        <f ca="1">(OFFSET($B$5,SUM($W$6:$W88),)-OFFSET($B$5,SUM($W$6:$W88)-1,))+(OFFSET($B$5,SUM($W$6:$W88)-2,)-OFFSET($B$5,SUM($W$6:$W88)-3,))+(OFFSET($B$5,SUM($W$6:$W88)-4,)-OFFSET($B$5,SUM($W$6:$W88)-5,))+(OFFSET($B$5,SUM($W$6:$W88)-6,)-OFFSET($B$5,SUM($W$6:$W88)-7,))+(OFFSET($B$5,SUM($W$6:$W88)-8,)-OFFSET($B$5,SUM($W$6:$W88)-9,))+(OFFSET($B$5,SUM($W$6:$W88)-10,)-OFFSET($B$5,SUM($W$6:$W88)-11,))</f>
        <v>#VALUE!</v>
      </c>
      <c r="AC88" s="439" t="e">
        <f ca="1">(OFFSET($B$5,SUM($W$6:$W88),)-OFFSET($B$5,SUM($W$6:$W88)-1,))+(OFFSET($B$5,SUM($W$6:$W88)-2,)-OFFSET($B$5,SUM($W$6:$W88)-3,))+(OFFSET($B$5,SUM($W$6:$W88)-4,)-OFFSET($B$5,SUM($W$6:$W88)-5,))+(OFFSET($B$5,SUM($W$6:$W88)-6,)-OFFSET($B$5,SUM($W$6:$W88)-7,))+(OFFSET($B$5,SUM($W$6:$W88)-8,)-OFFSET($B$5,SUM($W$6:$W88)-9,))</f>
        <v>#VALUE!</v>
      </c>
      <c r="AD88" s="439" t="e">
        <f ca="1">(OFFSET($B$5,SUM($W$6:$W88),)-OFFSET($B$5,SUM($W$6:$W88)-1,))+(OFFSET($B$5,SUM($W$6:$W88)-2,)-OFFSET($B$5,SUM($W$6:$W88)-3,))+(OFFSET($B$5,SUM($W$6:$W88)-4,)-OFFSET($B$5,SUM($W$6:$W88)-5,))+(OFFSET($B$5,SUM($W$6:$W88)-6,)-OFFSET($B$5,SUM($W$6:$W88)-7,))</f>
        <v>#VALUE!</v>
      </c>
      <c r="AE88" s="439" t="e">
        <f ca="1">(OFFSET($B$5,SUM($W$6:$W88),)-OFFSET($B$5,SUM($W$6:$W88)-1,))+(OFFSET($B$5,SUM($W$6:$W88)-2,)-OFFSET($B$5,SUM($W$6:$W88)-3,))+(OFFSET($B$5,SUM($W$6:$W88)-4,)-OFFSET($B$5,SUM($W$6:$W88)-5,))</f>
        <v>#VALUE!</v>
      </c>
      <c r="AF88" s="439" t="e">
        <f ca="1">(OFFSET($B$5,SUM($W$6:$W88),)-OFFSET($B$5,SUM($W$6:$W88)-1,))+(OFFSET($B$5,SUM($W$6:$W88)-2,)-OFFSET($B$5,SUM($W$6:$W88)-3,))</f>
        <v>#VALUE!</v>
      </c>
      <c r="AG88" s="439" t="e">
        <f ca="1">(OFFSET($B$5,SUM($W$6:$W88),)-OFFSET($B$5,SUM($W$6:$W88)-1,))</f>
        <v>#VALUE!</v>
      </c>
      <c r="AH88" s="439" t="e">
        <f ca="1">(OFFSET($B$5,SUM($W$6:$W88)-1,)-OFFSET($B$5,SUM($W$6:$W88)-2,))+(OFFSET($B$5,SUM($W$6:$W88)-3,)-OFFSET($B$5,SUM($W$6:$W88)-4,))+(OFFSET($B$5,SUM($W$6:$W88)-5,)-OFFSET($B$5,SUM($W$6:$W88)-6,))+(OFFSET($B$5,SUM($W$6:$W88)-7,)-OFFSET($B$5,SUM($W$6:$W88)-8,))+(OFFSET($B$5,SUM($W$6:$W88)-9,)-OFFSET($B$5,SUM($W$6:$W88)-10,))</f>
        <v>#REF!</v>
      </c>
      <c r="AI88" s="439" t="e">
        <f ca="1">(OFFSET($B$5,SUM($W$6:$W88)-1,)-OFFSET($B$5,SUM($W$6:$W88)-2,))+(OFFSET($B$5,SUM($W$6:$W88)-3,)-OFFSET($B$5,SUM($W$6:$W88)-4,))+(OFFSET($B$5,SUM($W$6:$W88)-5,)-OFFSET($B$5,SUM($W$6:$W88)-6,))+(OFFSET($B$5,SUM($W$6:$W88)-7,)-OFFSET($B$5,SUM($W$6:$W88)-8,))</f>
        <v>#REF!</v>
      </c>
      <c r="AJ88" s="439" t="e">
        <f ca="1">(OFFSET($B$5,SUM($W$6:$W88)-1,)-OFFSET($B$5,SUM($W$6:$W88)-2,))+(OFFSET($B$5,SUM($W$6:$W88)-3,)-OFFSET($B$5,SUM($W$6:$W88)-4,))+(OFFSET($B$5,SUM($W$6:$W88)-5,)-OFFSET($B$5,SUM($W$6:$W88)-6,))</f>
        <v>#REF!</v>
      </c>
      <c r="AK88" s="439">
        <f ca="1">(OFFSET($B$5,SUM($W$6:$W88)-1,)-OFFSET($B$5,SUM($W$6:$W88)-2,))+(OFFSET($B$5,SUM($W$6:$W88)-3,)-OFFSET($B$5,SUM($W$6:$W88)-4,))</f>
        <v>0</v>
      </c>
      <c r="AL88" s="439">
        <f ca="1">(OFFSET($B$5,SUM($W$6:$W88)-1,)-OFFSET($B$5,SUM($W$6:$W88)-2,))</f>
        <v>0</v>
      </c>
      <c r="AM88" s="433">
        <v>3.4166666666666701</v>
      </c>
    </row>
    <row r="89" spans="6:39" x14ac:dyDescent="0.25">
      <c r="F89" s="372">
        <v>44460</v>
      </c>
      <c r="G89" s="370">
        <f t="shared" si="46"/>
        <v>44460</v>
      </c>
      <c r="H89" s="386">
        <f t="shared" ref="H89:H93" si="60">X89</f>
        <v>0</v>
      </c>
      <c r="I89" s="386">
        <f t="shared" ref="I89:I93" ca="1" si="61">IFERROR(H89+T89+OFFSET($L$69,MATCH(F89,$K$70:$K$98,0),0)-$W$2,H89-$W$2)</f>
        <v>-0.33333333333333331</v>
      </c>
      <c r="J89" s="386">
        <f ca="1">I89+J86</f>
        <v>-4.9999999999999991</v>
      </c>
      <c r="K89" s="164"/>
      <c r="L89" s="60"/>
      <c r="T89" s="438">
        <f t="shared" si="48"/>
        <v>0</v>
      </c>
      <c r="U89" s="439" t="b">
        <f t="shared" si="49"/>
        <v>0</v>
      </c>
      <c r="V89" s="440" t="b">
        <f t="shared" si="50"/>
        <v>0</v>
      </c>
      <c r="W89" s="437">
        <f t="shared" si="51"/>
        <v>0</v>
      </c>
      <c r="X89" s="439">
        <f t="shared" si="52"/>
        <v>0</v>
      </c>
      <c r="Y89" s="439">
        <f t="shared" si="53"/>
        <v>0</v>
      </c>
      <c r="Z89" s="439">
        <f t="shared" si="26"/>
        <v>0</v>
      </c>
      <c r="AA89" s="439" t="e">
        <f ca="1">(OFFSET($B$5,SUM($W$6:$W89),)-OFFSET($B$5,(SUM($W$6:$W89)-SUM($W89:$W89)+1),))</f>
        <v>#VALUE!</v>
      </c>
      <c r="AB89" s="439" t="e">
        <f ca="1">(OFFSET($B$5,SUM($W$6:$W89),)-OFFSET($B$5,SUM($W$6:$W89)-1,))+(OFFSET($B$5,SUM($W$6:$W89)-2,)-OFFSET($B$5,SUM($W$6:$W89)-3,))+(OFFSET($B$5,SUM($W$6:$W89)-4,)-OFFSET($B$5,SUM($W$6:$W89)-5,))+(OFFSET($B$5,SUM($W$6:$W89)-6,)-OFFSET($B$5,SUM($W$6:$W89)-7,))+(OFFSET($B$5,SUM($W$6:$W89)-8,)-OFFSET($B$5,SUM($W$6:$W89)-9,))+(OFFSET($B$5,SUM($W$6:$W89)-10,)-OFFSET($B$5,SUM($W$6:$W89)-11,))</f>
        <v>#VALUE!</v>
      </c>
      <c r="AC89" s="439" t="e">
        <f ca="1">(OFFSET($B$5,SUM($W$6:$W89),)-OFFSET($B$5,SUM($W$6:$W89)-1,))+(OFFSET($B$5,SUM($W$6:$W89)-2,)-OFFSET($B$5,SUM($W$6:$W89)-3,))+(OFFSET($B$5,SUM($W$6:$W89)-4,)-OFFSET($B$5,SUM($W$6:$W89)-5,))+(OFFSET($B$5,SUM($W$6:$W89)-6,)-OFFSET($B$5,SUM($W$6:$W89)-7,))+(OFFSET($B$5,SUM($W$6:$W89)-8,)-OFFSET($B$5,SUM($W$6:$W89)-9,))</f>
        <v>#VALUE!</v>
      </c>
      <c r="AD89" s="439" t="e">
        <f ca="1">(OFFSET($B$5,SUM($W$6:$W89),)-OFFSET($B$5,SUM($W$6:$W89)-1,))+(OFFSET($B$5,SUM($W$6:$W89)-2,)-OFFSET($B$5,SUM($W$6:$W89)-3,))+(OFFSET($B$5,SUM($W$6:$W89)-4,)-OFFSET($B$5,SUM($W$6:$W89)-5,))+(OFFSET($B$5,SUM($W$6:$W89)-6,)-OFFSET($B$5,SUM($W$6:$W89)-7,))</f>
        <v>#VALUE!</v>
      </c>
      <c r="AE89" s="439" t="e">
        <f ca="1">(OFFSET($B$5,SUM($W$6:$W89),)-OFFSET($B$5,SUM($W$6:$W89)-1,))+(OFFSET($B$5,SUM($W$6:$W89)-2,)-OFFSET($B$5,SUM($W$6:$W89)-3,))+(OFFSET($B$5,SUM($W$6:$W89)-4,)-OFFSET($B$5,SUM($W$6:$W89)-5,))</f>
        <v>#VALUE!</v>
      </c>
      <c r="AF89" s="439" t="e">
        <f ca="1">(OFFSET($B$5,SUM($W$6:$W89),)-OFFSET($B$5,SUM($W$6:$W89)-1,))+(OFFSET($B$5,SUM($W$6:$W89)-2,)-OFFSET($B$5,SUM($W$6:$W89)-3,))</f>
        <v>#VALUE!</v>
      </c>
      <c r="AG89" s="439" t="e">
        <f ca="1">(OFFSET($B$5,SUM($W$6:$W89),)-OFFSET($B$5,SUM($W$6:$W89)-1,))</f>
        <v>#VALUE!</v>
      </c>
      <c r="AH89" s="439" t="e">
        <f ca="1">(OFFSET($B$5,SUM($W$6:$W89)-1,)-OFFSET($B$5,SUM($W$6:$W89)-2,))+(OFFSET($B$5,SUM($W$6:$W89)-3,)-OFFSET($B$5,SUM($W$6:$W89)-4,))+(OFFSET($B$5,SUM($W$6:$W89)-5,)-OFFSET($B$5,SUM($W$6:$W89)-6,))+(OFFSET($B$5,SUM($W$6:$W89)-7,)-OFFSET($B$5,SUM($W$6:$W89)-8,))+(OFFSET($B$5,SUM($W$6:$W89)-9,)-OFFSET($B$5,SUM($W$6:$W89)-10,))</f>
        <v>#REF!</v>
      </c>
      <c r="AI89" s="439" t="e">
        <f ca="1">(OFFSET($B$5,SUM($W$6:$W89)-1,)-OFFSET($B$5,SUM($W$6:$W89)-2,))+(OFFSET($B$5,SUM($W$6:$W89)-3,)-OFFSET($B$5,SUM($W$6:$W89)-4,))+(OFFSET($B$5,SUM($W$6:$W89)-5,)-OFFSET($B$5,SUM($W$6:$W89)-6,))+(OFFSET($B$5,SUM($W$6:$W89)-7,)-OFFSET($B$5,SUM($W$6:$W89)-8,))</f>
        <v>#REF!</v>
      </c>
      <c r="AJ89" s="439" t="e">
        <f ca="1">(OFFSET($B$5,SUM($W$6:$W89)-1,)-OFFSET($B$5,SUM($W$6:$W89)-2,))+(OFFSET($B$5,SUM($W$6:$W89)-3,)-OFFSET($B$5,SUM($W$6:$W89)-4,))+(OFFSET($B$5,SUM($W$6:$W89)-5,)-OFFSET($B$5,SUM($W$6:$W89)-6,))</f>
        <v>#REF!</v>
      </c>
      <c r="AK89" s="439">
        <f ca="1">(OFFSET($B$5,SUM($W$6:$W89)-1,)-OFFSET($B$5,SUM($W$6:$W89)-2,))+(OFFSET($B$5,SUM($W$6:$W89)-3,)-OFFSET($B$5,SUM($W$6:$W89)-4,))</f>
        <v>0</v>
      </c>
      <c r="AL89" s="439">
        <f ca="1">(OFFSET($B$5,SUM($W$6:$W89)-1,)-OFFSET($B$5,SUM($W$6:$W89)-2,))</f>
        <v>0</v>
      </c>
      <c r="AM89" s="433">
        <v>3.4583333333333299</v>
      </c>
    </row>
    <row r="90" spans="6:39" x14ac:dyDescent="0.25">
      <c r="F90" s="372">
        <v>44461</v>
      </c>
      <c r="G90" s="370">
        <f t="shared" si="46"/>
        <v>44461</v>
      </c>
      <c r="H90" s="386">
        <f t="shared" si="60"/>
        <v>0</v>
      </c>
      <c r="I90" s="386">
        <f t="shared" ca="1" si="61"/>
        <v>-0.33333333333333331</v>
      </c>
      <c r="J90" s="386">
        <f ca="1">I90+J89</f>
        <v>-5.3333333333333321</v>
      </c>
      <c r="K90" s="164"/>
      <c r="L90" s="60"/>
      <c r="T90" s="438">
        <f t="shared" si="48"/>
        <v>0</v>
      </c>
      <c r="U90" s="439" t="b">
        <f t="shared" si="49"/>
        <v>0</v>
      </c>
      <c r="V90" s="440" t="b">
        <f t="shared" si="50"/>
        <v>0</v>
      </c>
      <c r="W90" s="437">
        <f t="shared" si="51"/>
        <v>0</v>
      </c>
      <c r="X90" s="439">
        <f t="shared" si="52"/>
        <v>0</v>
      </c>
      <c r="Y90" s="439">
        <f t="shared" si="53"/>
        <v>0</v>
      </c>
      <c r="Z90" s="439">
        <f t="shared" si="26"/>
        <v>0</v>
      </c>
      <c r="AA90" s="439" t="e">
        <f ca="1">(OFFSET($B$5,SUM($W$6:$W90),)-OFFSET($B$5,(SUM($W$6:$W90)-SUM($W90:$W90)+1),))</f>
        <v>#VALUE!</v>
      </c>
      <c r="AB90" s="439" t="e">
        <f ca="1">(OFFSET($B$5,SUM($W$6:$W90),)-OFFSET($B$5,SUM($W$6:$W90)-1,))+(OFFSET($B$5,SUM($W$6:$W90)-2,)-OFFSET($B$5,SUM($W$6:$W90)-3,))+(OFFSET($B$5,SUM($W$6:$W90)-4,)-OFFSET($B$5,SUM($W$6:$W90)-5,))+(OFFSET($B$5,SUM($W$6:$W90)-6,)-OFFSET($B$5,SUM($W$6:$W90)-7,))+(OFFSET($B$5,SUM($W$6:$W90)-8,)-OFFSET($B$5,SUM($W$6:$W90)-9,))+(OFFSET($B$5,SUM($W$6:$W90)-10,)-OFFSET($B$5,SUM($W$6:$W90)-11,))</f>
        <v>#VALUE!</v>
      </c>
      <c r="AC90" s="439" t="e">
        <f ca="1">(OFFSET($B$5,SUM($W$6:$W90),)-OFFSET($B$5,SUM($W$6:$W90)-1,))+(OFFSET($B$5,SUM($W$6:$W90)-2,)-OFFSET($B$5,SUM($W$6:$W90)-3,))+(OFFSET($B$5,SUM($W$6:$W90)-4,)-OFFSET($B$5,SUM($W$6:$W90)-5,))+(OFFSET($B$5,SUM($W$6:$W90)-6,)-OFFSET($B$5,SUM($W$6:$W90)-7,))+(OFFSET($B$5,SUM($W$6:$W90)-8,)-OFFSET($B$5,SUM($W$6:$W90)-9,))</f>
        <v>#VALUE!</v>
      </c>
      <c r="AD90" s="439" t="e">
        <f ca="1">(OFFSET($B$5,SUM($W$6:$W90),)-OFFSET($B$5,SUM($W$6:$W90)-1,))+(OFFSET($B$5,SUM($W$6:$W90)-2,)-OFFSET($B$5,SUM($W$6:$W90)-3,))+(OFFSET($B$5,SUM($W$6:$W90)-4,)-OFFSET($B$5,SUM($W$6:$W90)-5,))+(OFFSET($B$5,SUM($W$6:$W90)-6,)-OFFSET($B$5,SUM($W$6:$W90)-7,))</f>
        <v>#VALUE!</v>
      </c>
      <c r="AE90" s="439" t="e">
        <f ca="1">(OFFSET($B$5,SUM($W$6:$W90),)-OFFSET($B$5,SUM($W$6:$W90)-1,))+(OFFSET($B$5,SUM($W$6:$W90)-2,)-OFFSET($B$5,SUM($W$6:$W90)-3,))+(OFFSET($B$5,SUM($W$6:$W90)-4,)-OFFSET($B$5,SUM($W$6:$W90)-5,))</f>
        <v>#VALUE!</v>
      </c>
      <c r="AF90" s="439" t="e">
        <f ca="1">(OFFSET($B$5,SUM($W$6:$W90),)-OFFSET($B$5,SUM($W$6:$W90)-1,))+(OFFSET($B$5,SUM($W$6:$W90)-2,)-OFFSET($B$5,SUM($W$6:$W90)-3,))</f>
        <v>#VALUE!</v>
      </c>
      <c r="AG90" s="439" t="e">
        <f ca="1">(OFFSET($B$5,SUM($W$6:$W90),)-OFFSET($B$5,SUM($W$6:$W90)-1,))</f>
        <v>#VALUE!</v>
      </c>
      <c r="AH90" s="439" t="e">
        <f ca="1">(OFFSET($B$5,SUM($W$6:$W90)-1,)-OFFSET($B$5,SUM($W$6:$W90)-2,))+(OFFSET($B$5,SUM($W$6:$W90)-3,)-OFFSET($B$5,SUM($W$6:$W90)-4,))+(OFFSET($B$5,SUM($W$6:$W90)-5,)-OFFSET($B$5,SUM($W$6:$W90)-6,))+(OFFSET($B$5,SUM($W$6:$W90)-7,)-OFFSET($B$5,SUM($W$6:$W90)-8,))+(OFFSET($B$5,SUM($W$6:$W90)-9,)-OFFSET($B$5,SUM($W$6:$W90)-10,))</f>
        <v>#REF!</v>
      </c>
      <c r="AI90" s="439" t="e">
        <f ca="1">(OFFSET($B$5,SUM($W$6:$W90)-1,)-OFFSET($B$5,SUM($W$6:$W90)-2,))+(OFFSET($B$5,SUM($W$6:$W90)-3,)-OFFSET($B$5,SUM($W$6:$W90)-4,))+(OFFSET($B$5,SUM($W$6:$W90)-5,)-OFFSET($B$5,SUM($W$6:$W90)-6,))+(OFFSET($B$5,SUM($W$6:$W90)-7,)-OFFSET($B$5,SUM($W$6:$W90)-8,))</f>
        <v>#REF!</v>
      </c>
      <c r="AJ90" s="439" t="e">
        <f ca="1">(OFFSET($B$5,SUM($W$6:$W90)-1,)-OFFSET($B$5,SUM($W$6:$W90)-2,))+(OFFSET($B$5,SUM($W$6:$W90)-3,)-OFFSET($B$5,SUM($W$6:$W90)-4,))+(OFFSET($B$5,SUM($W$6:$W90)-5,)-OFFSET($B$5,SUM($W$6:$W90)-6,))</f>
        <v>#REF!</v>
      </c>
      <c r="AK90" s="439">
        <f ca="1">(OFFSET($B$5,SUM($W$6:$W90)-1,)-OFFSET($B$5,SUM($W$6:$W90)-2,))+(OFFSET($B$5,SUM($W$6:$W90)-3,)-OFFSET($B$5,SUM($W$6:$W90)-4,))</f>
        <v>0</v>
      </c>
      <c r="AL90" s="439">
        <f ca="1">(OFFSET($B$5,SUM($W$6:$W90)-1,)-OFFSET($B$5,SUM($W$6:$W90)-2,))</f>
        <v>0</v>
      </c>
      <c r="AM90" s="433">
        <v>3.5</v>
      </c>
    </row>
    <row r="91" spans="6:39" x14ac:dyDescent="0.25">
      <c r="F91" s="372">
        <v>44462</v>
      </c>
      <c r="G91" s="370">
        <f t="shared" si="46"/>
        <v>44462</v>
      </c>
      <c r="H91" s="386">
        <f t="shared" si="60"/>
        <v>0</v>
      </c>
      <c r="I91" s="386">
        <f t="shared" ca="1" si="61"/>
        <v>-0.33333333333333331</v>
      </c>
      <c r="J91" s="386">
        <f t="shared" ref="J91:J93" ca="1" si="62">I91+J90</f>
        <v>-5.6666666666666652</v>
      </c>
      <c r="K91" s="164"/>
      <c r="L91" s="60"/>
      <c r="T91" s="438">
        <f t="shared" si="48"/>
        <v>0</v>
      </c>
      <c r="U91" s="439" t="b">
        <f t="shared" si="49"/>
        <v>0</v>
      </c>
      <c r="V91" s="440" t="b">
        <f t="shared" si="50"/>
        <v>0</v>
      </c>
      <c r="W91" s="437">
        <f t="shared" si="51"/>
        <v>0</v>
      </c>
      <c r="X91" s="439">
        <f t="shared" si="52"/>
        <v>0</v>
      </c>
      <c r="Y91" s="439">
        <f t="shared" si="53"/>
        <v>0</v>
      </c>
      <c r="Z91" s="439">
        <f t="shared" si="26"/>
        <v>0</v>
      </c>
      <c r="AA91" s="439" t="e">
        <f ca="1">(OFFSET($B$5,SUM($W$6:$W91),)-OFFSET($B$5,(SUM($W$6:$W91)-SUM($W91:$W91)+1),))</f>
        <v>#VALUE!</v>
      </c>
      <c r="AB91" s="439" t="e">
        <f ca="1">(OFFSET($B$5,SUM($W$6:$W91),)-OFFSET($B$5,SUM($W$6:$W91)-1,))+(OFFSET($B$5,SUM($W$6:$W91)-2,)-OFFSET($B$5,SUM($W$6:$W91)-3,))+(OFFSET($B$5,SUM($W$6:$W91)-4,)-OFFSET($B$5,SUM($W$6:$W91)-5,))+(OFFSET($B$5,SUM($W$6:$W91)-6,)-OFFSET($B$5,SUM($W$6:$W91)-7,))+(OFFSET($B$5,SUM($W$6:$W91)-8,)-OFFSET($B$5,SUM($W$6:$W91)-9,))+(OFFSET($B$5,SUM($W$6:$W91)-10,)-OFFSET($B$5,SUM($W$6:$W91)-11,))</f>
        <v>#VALUE!</v>
      </c>
      <c r="AC91" s="439" t="e">
        <f ca="1">(OFFSET($B$5,SUM($W$6:$W91),)-OFFSET($B$5,SUM($W$6:$W91)-1,))+(OFFSET($B$5,SUM($W$6:$W91)-2,)-OFFSET($B$5,SUM($W$6:$W91)-3,))+(OFFSET($B$5,SUM($W$6:$W91)-4,)-OFFSET($B$5,SUM($W$6:$W91)-5,))+(OFFSET($B$5,SUM($W$6:$W91)-6,)-OFFSET($B$5,SUM($W$6:$W91)-7,))+(OFFSET($B$5,SUM($W$6:$W91)-8,)-OFFSET($B$5,SUM($W$6:$W91)-9,))</f>
        <v>#VALUE!</v>
      </c>
      <c r="AD91" s="439" t="e">
        <f ca="1">(OFFSET($B$5,SUM($W$6:$W91),)-OFFSET($B$5,SUM($W$6:$W91)-1,))+(OFFSET($B$5,SUM($W$6:$W91)-2,)-OFFSET($B$5,SUM($W$6:$W91)-3,))+(OFFSET($B$5,SUM($W$6:$W91)-4,)-OFFSET($B$5,SUM($W$6:$W91)-5,))+(OFFSET($B$5,SUM($W$6:$W91)-6,)-OFFSET($B$5,SUM($W$6:$W91)-7,))</f>
        <v>#VALUE!</v>
      </c>
      <c r="AE91" s="439" t="e">
        <f ca="1">(OFFSET($B$5,SUM($W$6:$W91),)-OFFSET($B$5,SUM($W$6:$W91)-1,))+(OFFSET($B$5,SUM($W$6:$W91)-2,)-OFFSET($B$5,SUM($W$6:$W91)-3,))+(OFFSET($B$5,SUM($W$6:$W91)-4,)-OFFSET($B$5,SUM($W$6:$W91)-5,))</f>
        <v>#VALUE!</v>
      </c>
      <c r="AF91" s="439" t="e">
        <f ca="1">(OFFSET($B$5,SUM($W$6:$W91),)-OFFSET($B$5,SUM($W$6:$W91)-1,))+(OFFSET($B$5,SUM($W$6:$W91)-2,)-OFFSET($B$5,SUM($W$6:$W91)-3,))</f>
        <v>#VALUE!</v>
      </c>
      <c r="AG91" s="439" t="e">
        <f ca="1">(OFFSET($B$5,SUM($W$6:$W91),)-OFFSET($B$5,SUM($W$6:$W91)-1,))</f>
        <v>#VALUE!</v>
      </c>
      <c r="AH91" s="439" t="e">
        <f ca="1">(OFFSET($B$5,SUM($W$6:$W91)-1,)-OFFSET($B$5,SUM($W$6:$W91)-2,))+(OFFSET($B$5,SUM($W$6:$W91)-3,)-OFFSET($B$5,SUM($W$6:$W91)-4,))+(OFFSET($B$5,SUM($W$6:$W91)-5,)-OFFSET($B$5,SUM($W$6:$W91)-6,))+(OFFSET($B$5,SUM($W$6:$W91)-7,)-OFFSET($B$5,SUM($W$6:$W91)-8,))+(OFFSET($B$5,SUM($W$6:$W91)-9,)-OFFSET($B$5,SUM($W$6:$W91)-10,))</f>
        <v>#REF!</v>
      </c>
      <c r="AI91" s="439" t="e">
        <f ca="1">(OFFSET($B$5,SUM($W$6:$W91)-1,)-OFFSET($B$5,SUM($W$6:$W91)-2,))+(OFFSET($B$5,SUM($W$6:$W91)-3,)-OFFSET($B$5,SUM($W$6:$W91)-4,))+(OFFSET($B$5,SUM($W$6:$W91)-5,)-OFFSET($B$5,SUM($W$6:$W91)-6,))+(OFFSET($B$5,SUM($W$6:$W91)-7,)-OFFSET($B$5,SUM($W$6:$W91)-8,))</f>
        <v>#REF!</v>
      </c>
      <c r="AJ91" s="439" t="e">
        <f ca="1">(OFFSET($B$5,SUM($W$6:$W91)-1,)-OFFSET($B$5,SUM($W$6:$W91)-2,))+(OFFSET($B$5,SUM($W$6:$W91)-3,)-OFFSET($B$5,SUM($W$6:$W91)-4,))+(OFFSET($B$5,SUM($W$6:$W91)-5,)-OFFSET($B$5,SUM($W$6:$W91)-6,))</f>
        <v>#REF!</v>
      </c>
      <c r="AK91" s="439">
        <f ca="1">(OFFSET($B$5,SUM($W$6:$W91)-1,)-OFFSET($B$5,SUM($W$6:$W91)-2,))+(OFFSET($B$5,SUM($W$6:$W91)-3,)-OFFSET($B$5,SUM($W$6:$W91)-4,))</f>
        <v>0</v>
      </c>
      <c r="AL91" s="439">
        <f ca="1">(OFFSET($B$5,SUM($W$6:$W91)-1,)-OFFSET($B$5,SUM($W$6:$W91)-2,))</f>
        <v>0</v>
      </c>
      <c r="AM91" s="433">
        <v>3.5416666666666701</v>
      </c>
    </row>
    <row r="92" spans="6:39" x14ac:dyDescent="0.25">
      <c r="F92" s="372">
        <v>44463</v>
      </c>
      <c r="G92" s="370">
        <f t="shared" si="46"/>
        <v>44463</v>
      </c>
      <c r="H92" s="386">
        <f t="shared" si="60"/>
        <v>0</v>
      </c>
      <c r="I92" s="386">
        <f t="shared" ca="1" si="61"/>
        <v>-0.33333333333333331</v>
      </c>
      <c r="J92" s="386">
        <f t="shared" ca="1" si="62"/>
        <v>-5.9999999999999982</v>
      </c>
      <c r="K92" s="164"/>
      <c r="L92" s="60"/>
      <c r="T92" s="438">
        <f t="shared" si="48"/>
        <v>0</v>
      </c>
      <c r="U92" s="439" t="b">
        <f t="shared" si="49"/>
        <v>0</v>
      </c>
      <c r="V92" s="440" t="b">
        <f t="shared" si="50"/>
        <v>0</v>
      </c>
      <c r="W92" s="437">
        <f t="shared" si="51"/>
        <v>0</v>
      </c>
      <c r="X92" s="439">
        <f t="shared" si="52"/>
        <v>0</v>
      </c>
      <c r="Y92" s="439">
        <f t="shared" si="53"/>
        <v>0</v>
      </c>
      <c r="Z92" s="439">
        <f t="shared" si="26"/>
        <v>0</v>
      </c>
      <c r="AA92" s="439" t="e">
        <f ca="1">(OFFSET($B$5,SUM($W$6:$W92),)-OFFSET($B$5,(SUM($W$6:$W92)-SUM($W92:$W92)+1),))</f>
        <v>#VALUE!</v>
      </c>
      <c r="AB92" s="439" t="e">
        <f ca="1">(OFFSET($B$5,SUM($W$6:$W92),)-OFFSET($B$5,SUM($W$6:$W92)-1,))+(OFFSET($B$5,SUM($W$6:$W92)-2,)-OFFSET($B$5,SUM($W$6:$W92)-3,))+(OFFSET($B$5,SUM($W$6:$W92)-4,)-OFFSET($B$5,SUM($W$6:$W92)-5,))+(OFFSET($B$5,SUM($W$6:$W92)-6,)-OFFSET($B$5,SUM($W$6:$W92)-7,))+(OFFSET($B$5,SUM($W$6:$W92)-8,)-OFFSET($B$5,SUM($W$6:$W92)-9,))+(OFFSET($B$5,SUM($W$6:$W92)-10,)-OFFSET($B$5,SUM($W$6:$W92)-11,))</f>
        <v>#VALUE!</v>
      </c>
      <c r="AC92" s="439" t="e">
        <f ca="1">(OFFSET($B$5,SUM($W$6:$W92),)-OFFSET($B$5,SUM($W$6:$W92)-1,))+(OFFSET($B$5,SUM($W$6:$W92)-2,)-OFFSET($B$5,SUM($W$6:$W92)-3,))+(OFFSET($B$5,SUM($W$6:$W92)-4,)-OFFSET($B$5,SUM($W$6:$W92)-5,))+(OFFSET($B$5,SUM($W$6:$W92)-6,)-OFFSET($B$5,SUM($W$6:$W92)-7,))+(OFFSET($B$5,SUM($W$6:$W92)-8,)-OFFSET($B$5,SUM($W$6:$W92)-9,))</f>
        <v>#VALUE!</v>
      </c>
      <c r="AD92" s="439" t="e">
        <f ca="1">(OFFSET($B$5,SUM($W$6:$W92),)-OFFSET($B$5,SUM($W$6:$W92)-1,))+(OFFSET($B$5,SUM($W$6:$W92)-2,)-OFFSET($B$5,SUM($W$6:$W92)-3,))+(OFFSET($B$5,SUM($W$6:$W92)-4,)-OFFSET($B$5,SUM($W$6:$W92)-5,))+(OFFSET($B$5,SUM($W$6:$W92)-6,)-OFFSET($B$5,SUM($W$6:$W92)-7,))</f>
        <v>#VALUE!</v>
      </c>
      <c r="AE92" s="439" t="e">
        <f ca="1">(OFFSET($B$5,SUM($W$6:$W92),)-OFFSET($B$5,SUM($W$6:$W92)-1,))+(OFFSET($B$5,SUM($W$6:$W92)-2,)-OFFSET($B$5,SUM($W$6:$W92)-3,))+(OFFSET($B$5,SUM($W$6:$W92)-4,)-OFFSET($B$5,SUM($W$6:$W92)-5,))</f>
        <v>#VALUE!</v>
      </c>
      <c r="AF92" s="439" t="e">
        <f ca="1">(OFFSET($B$5,SUM($W$6:$W92),)-OFFSET($B$5,SUM($W$6:$W92)-1,))+(OFFSET($B$5,SUM($W$6:$W92)-2,)-OFFSET($B$5,SUM($W$6:$W92)-3,))</f>
        <v>#VALUE!</v>
      </c>
      <c r="AG92" s="439" t="e">
        <f ca="1">(OFFSET($B$5,SUM($W$6:$W92),)-OFFSET($B$5,SUM($W$6:$W92)-1,))</f>
        <v>#VALUE!</v>
      </c>
      <c r="AH92" s="439" t="e">
        <f ca="1">(OFFSET($B$5,SUM($W$6:$W92)-1,)-OFFSET($B$5,SUM($W$6:$W92)-2,))+(OFFSET($B$5,SUM($W$6:$W92)-3,)-OFFSET($B$5,SUM($W$6:$W92)-4,))+(OFFSET($B$5,SUM($W$6:$W92)-5,)-OFFSET($B$5,SUM($W$6:$W92)-6,))+(OFFSET($B$5,SUM($W$6:$W92)-7,)-OFFSET($B$5,SUM($W$6:$W92)-8,))+(OFFSET($B$5,SUM($W$6:$W92)-9,)-OFFSET($B$5,SUM($W$6:$W92)-10,))</f>
        <v>#REF!</v>
      </c>
      <c r="AI92" s="439" t="e">
        <f ca="1">(OFFSET($B$5,SUM($W$6:$W92)-1,)-OFFSET($B$5,SUM($W$6:$W92)-2,))+(OFFSET($B$5,SUM($W$6:$W92)-3,)-OFFSET($B$5,SUM($W$6:$W92)-4,))+(OFFSET($B$5,SUM($W$6:$W92)-5,)-OFFSET($B$5,SUM($W$6:$W92)-6,))+(OFFSET($B$5,SUM($W$6:$W92)-7,)-OFFSET($B$5,SUM($W$6:$W92)-8,))</f>
        <v>#REF!</v>
      </c>
      <c r="AJ92" s="439" t="e">
        <f ca="1">(OFFSET($B$5,SUM($W$6:$W92)-1,)-OFFSET($B$5,SUM($W$6:$W92)-2,))+(OFFSET($B$5,SUM($W$6:$W92)-3,)-OFFSET($B$5,SUM($W$6:$W92)-4,))+(OFFSET($B$5,SUM($W$6:$W92)-5,)-OFFSET($B$5,SUM($W$6:$W92)-6,))</f>
        <v>#REF!</v>
      </c>
      <c r="AK92" s="439">
        <f ca="1">(OFFSET($B$5,SUM($W$6:$W92)-1,)-OFFSET($B$5,SUM($W$6:$W92)-2,))+(OFFSET($B$5,SUM($W$6:$W92)-3,)-OFFSET($B$5,SUM($W$6:$W92)-4,))</f>
        <v>0</v>
      </c>
      <c r="AL92" s="439">
        <f ca="1">(OFFSET($B$5,SUM($W$6:$W92)-1,)-OFFSET($B$5,SUM($W$6:$W92)-2,))</f>
        <v>0</v>
      </c>
      <c r="AM92" s="433">
        <v>3.5833333333333299</v>
      </c>
    </row>
    <row r="93" spans="6:39" x14ac:dyDescent="0.25">
      <c r="F93" s="372">
        <v>44464</v>
      </c>
      <c r="G93" s="370">
        <f t="shared" si="46"/>
        <v>44464</v>
      </c>
      <c r="H93" s="386">
        <f t="shared" si="60"/>
        <v>0</v>
      </c>
      <c r="I93" s="386">
        <f t="shared" ca="1" si="61"/>
        <v>-0.33333333333333331</v>
      </c>
      <c r="J93" s="386">
        <f t="shared" ca="1" si="62"/>
        <v>-6.3333333333333313</v>
      </c>
      <c r="K93" s="164"/>
      <c r="L93" s="60"/>
      <c r="T93" s="438">
        <f t="shared" si="48"/>
        <v>0</v>
      </c>
      <c r="U93" s="439" t="b">
        <f t="shared" si="49"/>
        <v>0</v>
      </c>
      <c r="V93" s="440" t="b">
        <f t="shared" si="50"/>
        <v>0</v>
      </c>
      <c r="W93" s="437">
        <f t="shared" si="51"/>
        <v>0</v>
      </c>
      <c r="X93" s="439">
        <f t="shared" si="52"/>
        <v>0</v>
      </c>
      <c r="Y93" s="439">
        <f t="shared" si="53"/>
        <v>0</v>
      </c>
      <c r="Z93" s="439">
        <f t="shared" si="26"/>
        <v>0</v>
      </c>
      <c r="AA93" s="439" t="e">
        <f ca="1">(OFFSET($B$5,SUM($W$6:$W93),)-OFFSET($B$5,(SUM($W$6:$W93)-SUM($W93:$W93)+1),))</f>
        <v>#VALUE!</v>
      </c>
      <c r="AB93" s="439" t="e">
        <f ca="1">(OFFSET($B$5,SUM($W$6:$W93),)-OFFSET($B$5,SUM($W$6:$W93)-1,))+(OFFSET($B$5,SUM($W$6:$W93)-2,)-OFFSET($B$5,SUM($W$6:$W93)-3,))+(OFFSET($B$5,SUM($W$6:$W93)-4,)-OFFSET($B$5,SUM($W$6:$W93)-5,))+(OFFSET($B$5,SUM($W$6:$W93)-6,)-OFFSET($B$5,SUM($W$6:$W93)-7,))+(OFFSET($B$5,SUM($W$6:$W93)-8,)-OFFSET($B$5,SUM($W$6:$W93)-9,))+(OFFSET($B$5,SUM($W$6:$W93)-10,)-OFFSET($B$5,SUM($W$6:$W93)-11,))</f>
        <v>#VALUE!</v>
      </c>
      <c r="AC93" s="439" t="e">
        <f ca="1">(OFFSET($B$5,SUM($W$6:$W93),)-OFFSET($B$5,SUM($W$6:$W93)-1,))+(OFFSET($B$5,SUM($W$6:$W93)-2,)-OFFSET($B$5,SUM($W$6:$W93)-3,))+(OFFSET($B$5,SUM($W$6:$W93)-4,)-OFFSET($B$5,SUM($W$6:$W93)-5,))+(OFFSET($B$5,SUM($W$6:$W93)-6,)-OFFSET($B$5,SUM($W$6:$W93)-7,))+(OFFSET($B$5,SUM($W$6:$W93)-8,)-OFFSET($B$5,SUM($W$6:$W93)-9,))</f>
        <v>#VALUE!</v>
      </c>
      <c r="AD93" s="439" t="e">
        <f ca="1">(OFFSET($B$5,SUM($W$6:$W93),)-OFFSET($B$5,SUM($W$6:$W93)-1,))+(OFFSET($B$5,SUM($W$6:$W93)-2,)-OFFSET($B$5,SUM($W$6:$W93)-3,))+(OFFSET($B$5,SUM($W$6:$W93)-4,)-OFFSET($B$5,SUM($W$6:$W93)-5,))+(OFFSET($B$5,SUM($W$6:$W93)-6,)-OFFSET($B$5,SUM($W$6:$W93)-7,))</f>
        <v>#VALUE!</v>
      </c>
      <c r="AE93" s="439" t="e">
        <f ca="1">(OFFSET($B$5,SUM($W$6:$W93),)-OFFSET($B$5,SUM($W$6:$W93)-1,))+(OFFSET($B$5,SUM($W$6:$W93)-2,)-OFFSET($B$5,SUM($W$6:$W93)-3,))+(OFFSET($B$5,SUM($W$6:$W93)-4,)-OFFSET($B$5,SUM($W$6:$W93)-5,))</f>
        <v>#VALUE!</v>
      </c>
      <c r="AF93" s="439" t="e">
        <f ca="1">(OFFSET($B$5,SUM($W$6:$W93),)-OFFSET($B$5,SUM($W$6:$W93)-1,))+(OFFSET($B$5,SUM($W$6:$W93)-2,)-OFFSET($B$5,SUM($W$6:$W93)-3,))</f>
        <v>#VALUE!</v>
      </c>
      <c r="AG93" s="439" t="e">
        <f ca="1">(OFFSET($B$5,SUM($W$6:$W93),)-OFFSET($B$5,SUM($W$6:$W93)-1,))</f>
        <v>#VALUE!</v>
      </c>
      <c r="AH93" s="439" t="e">
        <f ca="1">(OFFSET($B$5,SUM($W$6:$W93)-1,)-OFFSET($B$5,SUM($W$6:$W93)-2,))+(OFFSET($B$5,SUM($W$6:$W93)-3,)-OFFSET($B$5,SUM($W$6:$W93)-4,))+(OFFSET($B$5,SUM($W$6:$W93)-5,)-OFFSET($B$5,SUM($W$6:$W93)-6,))+(OFFSET($B$5,SUM($W$6:$W93)-7,)-OFFSET($B$5,SUM($W$6:$W93)-8,))+(OFFSET($B$5,SUM($W$6:$W93)-9,)-OFFSET($B$5,SUM($W$6:$W93)-10,))</f>
        <v>#REF!</v>
      </c>
      <c r="AI93" s="439" t="e">
        <f ca="1">(OFFSET($B$5,SUM($W$6:$W93)-1,)-OFFSET($B$5,SUM($W$6:$W93)-2,))+(OFFSET($B$5,SUM($W$6:$W93)-3,)-OFFSET($B$5,SUM($W$6:$W93)-4,))+(OFFSET($B$5,SUM($W$6:$W93)-5,)-OFFSET($B$5,SUM($W$6:$W93)-6,))+(OFFSET($B$5,SUM($W$6:$W93)-7,)-OFFSET($B$5,SUM($W$6:$W93)-8,))</f>
        <v>#REF!</v>
      </c>
      <c r="AJ93" s="439" t="e">
        <f ca="1">(OFFSET($B$5,SUM($W$6:$W93)-1,)-OFFSET($B$5,SUM($W$6:$W93)-2,))+(OFFSET($B$5,SUM($W$6:$W93)-3,)-OFFSET($B$5,SUM($W$6:$W93)-4,))+(OFFSET($B$5,SUM($W$6:$W93)-5,)-OFFSET($B$5,SUM($W$6:$W93)-6,))</f>
        <v>#REF!</v>
      </c>
      <c r="AK93" s="439">
        <f ca="1">(OFFSET($B$5,SUM($W$6:$W93)-1,)-OFFSET($B$5,SUM($W$6:$W93)-2,))+(OFFSET($B$5,SUM($W$6:$W93)-3,)-OFFSET($B$5,SUM($W$6:$W93)-4,))</f>
        <v>0</v>
      </c>
      <c r="AL93" s="439">
        <f ca="1">(OFFSET($B$5,SUM($W$6:$W93)-1,)-OFFSET($B$5,SUM($W$6:$W93)-2,))</f>
        <v>0</v>
      </c>
      <c r="AM93" s="433">
        <v>3.625</v>
      </c>
    </row>
    <row r="94" spans="6:39" x14ac:dyDescent="0.25">
      <c r="F94" s="372">
        <v>44465</v>
      </c>
      <c r="G94" s="404">
        <f t="shared" si="46"/>
        <v>44465</v>
      </c>
      <c r="H94" s="389"/>
      <c r="I94" s="389"/>
      <c r="J94" s="390"/>
      <c r="K94" s="164"/>
      <c r="L94" s="60"/>
      <c r="T94" s="438">
        <f t="shared" si="48"/>
        <v>0</v>
      </c>
      <c r="U94" s="439" t="b">
        <f t="shared" si="49"/>
        <v>0</v>
      </c>
      <c r="V94" s="440" t="b">
        <f t="shared" si="50"/>
        <v>0</v>
      </c>
      <c r="W94" s="437">
        <f t="shared" si="51"/>
        <v>0</v>
      </c>
      <c r="X94" s="439">
        <f t="shared" si="52"/>
        <v>0</v>
      </c>
      <c r="Y94" s="439">
        <f t="shared" si="53"/>
        <v>0</v>
      </c>
      <c r="Z94" s="439">
        <f t="shared" si="26"/>
        <v>0</v>
      </c>
      <c r="AA94" s="439" t="e">
        <f ca="1">(OFFSET($B$5,SUM($W$6:$W94),)-OFFSET($B$5,(SUM($W$6:$W94)-SUM($W94:$W94)+1),))</f>
        <v>#VALUE!</v>
      </c>
      <c r="AB94" s="439" t="e">
        <f ca="1">(OFFSET($B$5,SUM($W$6:$W94),)-OFFSET($B$5,SUM($W$6:$W94)-1,))+(OFFSET($B$5,SUM($W$6:$W94)-2,)-OFFSET($B$5,SUM($W$6:$W94)-3,))+(OFFSET($B$5,SUM($W$6:$W94)-4,)-OFFSET($B$5,SUM($W$6:$W94)-5,))+(OFFSET($B$5,SUM($W$6:$W94)-6,)-OFFSET($B$5,SUM($W$6:$W94)-7,))+(OFFSET($B$5,SUM($W$6:$W94)-8,)-OFFSET($B$5,SUM($W$6:$W94)-9,))+(OFFSET($B$5,SUM($W$6:$W94)-10,)-OFFSET($B$5,SUM($W$6:$W94)-11,))</f>
        <v>#VALUE!</v>
      </c>
      <c r="AC94" s="439" t="e">
        <f ca="1">(OFFSET($B$5,SUM($W$6:$W94),)-OFFSET($B$5,SUM($W$6:$W94)-1,))+(OFFSET($B$5,SUM($W$6:$W94)-2,)-OFFSET($B$5,SUM($W$6:$W94)-3,))+(OFFSET($B$5,SUM($W$6:$W94)-4,)-OFFSET($B$5,SUM($W$6:$W94)-5,))+(OFFSET($B$5,SUM($W$6:$W94)-6,)-OFFSET($B$5,SUM($W$6:$W94)-7,))+(OFFSET($B$5,SUM($W$6:$W94)-8,)-OFFSET($B$5,SUM($W$6:$W94)-9,))</f>
        <v>#VALUE!</v>
      </c>
      <c r="AD94" s="439" t="e">
        <f ca="1">(OFFSET($B$5,SUM($W$6:$W94),)-OFFSET($B$5,SUM($W$6:$W94)-1,))+(OFFSET($B$5,SUM($W$6:$W94)-2,)-OFFSET($B$5,SUM($W$6:$W94)-3,))+(OFFSET($B$5,SUM($W$6:$W94)-4,)-OFFSET($B$5,SUM($W$6:$W94)-5,))+(OFFSET($B$5,SUM($W$6:$W94)-6,)-OFFSET($B$5,SUM($W$6:$W94)-7,))</f>
        <v>#VALUE!</v>
      </c>
      <c r="AE94" s="439" t="e">
        <f ca="1">(OFFSET($B$5,SUM($W$6:$W94),)-OFFSET($B$5,SUM($W$6:$W94)-1,))+(OFFSET($B$5,SUM($W$6:$W94)-2,)-OFFSET($B$5,SUM($W$6:$W94)-3,))+(OFFSET($B$5,SUM($W$6:$W94)-4,)-OFFSET($B$5,SUM($W$6:$W94)-5,))</f>
        <v>#VALUE!</v>
      </c>
      <c r="AF94" s="439" t="e">
        <f ca="1">(OFFSET($B$5,SUM($W$6:$W94),)-OFFSET($B$5,SUM($W$6:$W94)-1,))+(OFFSET($B$5,SUM($W$6:$W94)-2,)-OFFSET($B$5,SUM($W$6:$W94)-3,))</f>
        <v>#VALUE!</v>
      </c>
      <c r="AG94" s="439" t="e">
        <f ca="1">(OFFSET($B$5,SUM($W$6:$W94),)-OFFSET($B$5,SUM($W$6:$W94)-1,))</f>
        <v>#VALUE!</v>
      </c>
      <c r="AH94" s="439" t="e">
        <f ca="1">(OFFSET($B$5,SUM($W$6:$W94)-1,)-OFFSET($B$5,SUM($W$6:$W94)-2,))+(OFFSET($B$5,SUM($W$6:$W94)-3,)-OFFSET($B$5,SUM($W$6:$W94)-4,))+(OFFSET($B$5,SUM($W$6:$W94)-5,)-OFFSET($B$5,SUM($W$6:$W94)-6,))+(OFFSET($B$5,SUM($W$6:$W94)-7,)-OFFSET($B$5,SUM($W$6:$W94)-8,))+(OFFSET($B$5,SUM($W$6:$W94)-9,)-OFFSET($B$5,SUM($W$6:$W94)-10,))</f>
        <v>#REF!</v>
      </c>
      <c r="AI94" s="439" t="e">
        <f ca="1">(OFFSET($B$5,SUM($W$6:$W94)-1,)-OFFSET($B$5,SUM($W$6:$W94)-2,))+(OFFSET($B$5,SUM($W$6:$W94)-3,)-OFFSET($B$5,SUM($W$6:$W94)-4,))+(OFFSET($B$5,SUM($W$6:$W94)-5,)-OFFSET($B$5,SUM($W$6:$W94)-6,))+(OFFSET($B$5,SUM($W$6:$W94)-7,)-OFFSET($B$5,SUM($W$6:$W94)-8,))</f>
        <v>#REF!</v>
      </c>
      <c r="AJ94" s="439" t="e">
        <f ca="1">(OFFSET($B$5,SUM($W$6:$W94)-1,)-OFFSET($B$5,SUM($W$6:$W94)-2,))+(OFFSET($B$5,SUM($W$6:$W94)-3,)-OFFSET($B$5,SUM($W$6:$W94)-4,))+(OFFSET($B$5,SUM($W$6:$W94)-5,)-OFFSET($B$5,SUM($W$6:$W94)-6,))</f>
        <v>#REF!</v>
      </c>
      <c r="AK94" s="439">
        <f ca="1">(OFFSET($B$5,SUM($W$6:$W94)-1,)-OFFSET($B$5,SUM($W$6:$W94)-2,))+(OFFSET($B$5,SUM($W$6:$W94)-3,)-OFFSET($B$5,SUM($W$6:$W94)-4,))</f>
        <v>0</v>
      </c>
      <c r="AL94" s="439">
        <f ca="1">(OFFSET($B$5,SUM($W$6:$W94)-1,)-OFFSET($B$5,SUM($W$6:$W94)-2,))</f>
        <v>0</v>
      </c>
      <c r="AM94" s="433">
        <v>3.6666666666666701</v>
      </c>
    </row>
    <row r="95" spans="6:39" x14ac:dyDescent="0.25">
      <c r="F95" s="372">
        <v>44466</v>
      </c>
      <c r="G95" s="404">
        <f t="shared" si="46"/>
        <v>44466</v>
      </c>
      <c r="H95" s="389"/>
      <c r="I95" s="389"/>
      <c r="J95" s="390"/>
      <c r="K95" s="164"/>
      <c r="L95" s="60"/>
      <c r="T95" s="438">
        <f t="shared" si="48"/>
        <v>0</v>
      </c>
      <c r="U95" s="439" t="b">
        <f t="shared" si="49"/>
        <v>0</v>
      </c>
      <c r="V95" s="440" t="b">
        <f t="shared" si="50"/>
        <v>0</v>
      </c>
      <c r="W95" s="437">
        <f t="shared" si="51"/>
        <v>0</v>
      </c>
      <c r="X95" s="439">
        <f t="shared" si="52"/>
        <v>0</v>
      </c>
      <c r="Y95" s="439">
        <f t="shared" si="53"/>
        <v>0</v>
      </c>
      <c r="Z95" s="439">
        <f t="shared" si="26"/>
        <v>0</v>
      </c>
      <c r="AA95" s="439" t="e">
        <f ca="1">(OFFSET($B$5,SUM($W$6:$W95),)-OFFSET($B$5,(SUM($W$6:$W95)-SUM($W95:$W95)+1),))</f>
        <v>#VALUE!</v>
      </c>
      <c r="AB95" s="439" t="e">
        <f ca="1">(OFFSET($B$5,SUM($W$6:$W95),)-OFFSET($B$5,SUM($W$6:$W95)-1,))+(OFFSET($B$5,SUM($W$6:$W95)-2,)-OFFSET($B$5,SUM($W$6:$W95)-3,))+(OFFSET($B$5,SUM($W$6:$W95)-4,)-OFFSET($B$5,SUM($W$6:$W95)-5,))+(OFFSET($B$5,SUM($W$6:$W95)-6,)-OFFSET($B$5,SUM($W$6:$W95)-7,))+(OFFSET($B$5,SUM($W$6:$W95)-8,)-OFFSET($B$5,SUM($W$6:$W95)-9,))+(OFFSET($B$5,SUM($W$6:$W95)-10,)-OFFSET($B$5,SUM($W$6:$W95)-11,))</f>
        <v>#VALUE!</v>
      </c>
      <c r="AC95" s="439" t="e">
        <f ca="1">(OFFSET($B$5,SUM($W$6:$W95),)-OFFSET($B$5,SUM($W$6:$W95)-1,))+(OFFSET($B$5,SUM($W$6:$W95)-2,)-OFFSET($B$5,SUM($W$6:$W95)-3,))+(OFFSET($B$5,SUM($W$6:$W95)-4,)-OFFSET($B$5,SUM($W$6:$W95)-5,))+(OFFSET($B$5,SUM($W$6:$W95)-6,)-OFFSET($B$5,SUM($W$6:$W95)-7,))+(OFFSET($B$5,SUM($W$6:$W95)-8,)-OFFSET($B$5,SUM($W$6:$W95)-9,))</f>
        <v>#VALUE!</v>
      </c>
      <c r="AD95" s="439" t="e">
        <f ca="1">(OFFSET($B$5,SUM($W$6:$W95),)-OFFSET($B$5,SUM($W$6:$W95)-1,))+(OFFSET($B$5,SUM($W$6:$W95)-2,)-OFFSET($B$5,SUM($W$6:$W95)-3,))+(OFFSET($B$5,SUM($W$6:$W95)-4,)-OFFSET($B$5,SUM($W$6:$W95)-5,))+(OFFSET($B$5,SUM($W$6:$W95)-6,)-OFFSET($B$5,SUM($W$6:$W95)-7,))</f>
        <v>#VALUE!</v>
      </c>
      <c r="AE95" s="439" t="e">
        <f ca="1">(OFFSET($B$5,SUM($W$6:$W95),)-OFFSET($B$5,SUM($W$6:$W95)-1,))+(OFFSET($B$5,SUM($W$6:$W95)-2,)-OFFSET($B$5,SUM($W$6:$W95)-3,))+(OFFSET($B$5,SUM($W$6:$W95)-4,)-OFFSET($B$5,SUM($W$6:$W95)-5,))</f>
        <v>#VALUE!</v>
      </c>
      <c r="AF95" s="439" t="e">
        <f ca="1">(OFFSET($B$5,SUM($W$6:$W95),)-OFFSET($B$5,SUM($W$6:$W95)-1,))+(OFFSET($B$5,SUM($W$6:$W95)-2,)-OFFSET($B$5,SUM($W$6:$W95)-3,))</f>
        <v>#VALUE!</v>
      </c>
      <c r="AG95" s="439" t="e">
        <f ca="1">(OFFSET($B$5,SUM($W$6:$W95),)-OFFSET($B$5,SUM($W$6:$W95)-1,))</f>
        <v>#VALUE!</v>
      </c>
      <c r="AH95" s="439" t="e">
        <f ca="1">(OFFSET($B$5,SUM($W$6:$W95)-1,)-OFFSET($B$5,SUM($W$6:$W95)-2,))+(OFFSET($B$5,SUM($W$6:$W95)-3,)-OFFSET($B$5,SUM($W$6:$W95)-4,))+(OFFSET($B$5,SUM($W$6:$W95)-5,)-OFFSET($B$5,SUM($W$6:$W95)-6,))+(OFFSET($B$5,SUM($W$6:$W95)-7,)-OFFSET($B$5,SUM($W$6:$W95)-8,))+(OFFSET($B$5,SUM($W$6:$W95)-9,)-OFFSET($B$5,SUM($W$6:$W95)-10,))</f>
        <v>#REF!</v>
      </c>
      <c r="AI95" s="439" t="e">
        <f ca="1">(OFFSET($B$5,SUM($W$6:$W95)-1,)-OFFSET($B$5,SUM($W$6:$W95)-2,))+(OFFSET($B$5,SUM($W$6:$W95)-3,)-OFFSET($B$5,SUM($W$6:$W95)-4,))+(OFFSET($B$5,SUM($W$6:$W95)-5,)-OFFSET($B$5,SUM($W$6:$W95)-6,))+(OFFSET($B$5,SUM($W$6:$W95)-7,)-OFFSET($B$5,SUM($W$6:$W95)-8,))</f>
        <v>#REF!</v>
      </c>
      <c r="AJ95" s="439" t="e">
        <f ca="1">(OFFSET($B$5,SUM($W$6:$W95)-1,)-OFFSET($B$5,SUM($W$6:$W95)-2,))+(OFFSET($B$5,SUM($W$6:$W95)-3,)-OFFSET($B$5,SUM($W$6:$W95)-4,))+(OFFSET($B$5,SUM($W$6:$W95)-5,)-OFFSET($B$5,SUM($W$6:$W95)-6,))</f>
        <v>#REF!</v>
      </c>
      <c r="AK95" s="439">
        <f ca="1">(OFFSET($B$5,SUM($W$6:$W95)-1,)-OFFSET($B$5,SUM($W$6:$W95)-2,))+(OFFSET($B$5,SUM($W$6:$W95)-3,)-OFFSET($B$5,SUM($W$6:$W95)-4,))</f>
        <v>0</v>
      </c>
      <c r="AL95" s="439">
        <f ca="1">(OFFSET($B$5,SUM($W$6:$W95)-1,)-OFFSET($B$5,SUM($W$6:$W95)-2,))</f>
        <v>0</v>
      </c>
      <c r="AM95" s="433">
        <v>3.7083333333333299</v>
      </c>
    </row>
    <row r="96" spans="6:39" x14ac:dyDescent="0.25">
      <c r="F96" s="372">
        <v>44467</v>
      </c>
      <c r="G96" s="370">
        <f t="shared" si="46"/>
        <v>44467</v>
      </c>
      <c r="H96" s="386">
        <f t="shared" ref="H96:H97" si="63">X96</f>
        <v>0</v>
      </c>
      <c r="I96" s="386">
        <f t="shared" ref="I96:I97" ca="1" si="64">IFERROR(H96+T96+OFFSET($L$69,MATCH(F96,$K$70:$K$98,0),0)-$W$2,H96-$W$2)</f>
        <v>-0.33333333333333331</v>
      </c>
      <c r="J96" s="386">
        <f ca="1">I96+J93</f>
        <v>-6.6666666666666643</v>
      </c>
      <c r="K96" s="164"/>
      <c r="L96" s="60"/>
      <c r="T96" s="438">
        <f t="shared" si="48"/>
        <v>0</v>
      </c>
      <c r="U96" s="439" t="b">
        <f t="shared" si="49"/>
        <v>0</v>
      </c>
      <c r="V96" s="440" t="b">
        <f t="shared" si="50"/>
        <v>0</v>
      </c>
      <c r="W96" s="437">
        <f t="shared" si="51"/>
        <v>0</v>
      </c>
      <c r="X96" s="439">
        <f t="shared" si="52"/>
        <v>0</v>
      </c>
      <c r="Y96" s="439">
        <f t="shared" si="53"/>
        <v>0</v>
      </c>
      <c r="Z96" s="439">
        <f t="shared" si="26"/>
        <v>0</v>
      </c>
      <c r="AA96" s="439" t="e">
        <f ca="1">(OFFSET($B$5,SUM($W$6:$W96),)-OFFSET($B$5,(SUM($W$6:$W96)-SUM($W96:$W96)+1),))</f>
        <v>#VALUE!</v>
      </c>
      <c r="AB96" s="439" t="e">
        <f ca="1">(OFFSET($B$5,SUM($W$6:$W96),)-OFFSET($B$5,SUM($W$6:$W96)-1,))+(OFFSET($B$5,SUM($W$6:$W96)-2,)-OFFSET($B$5,SUM($W$6:$W96)-3,))+(OFFSET($B$5,SUM($W$6:$W96)-4,)-OFFSET($B$5,SUM($W$6:$W96)-5,))+(OFFSET($B$5,SUM($W$6:$W96)-6,)-OFFSET($B$5,SUM($W$6:$W96)-7,))+(OFFSET($B$5,SUM($W$6:$W96)-8,)-OFFSET($B$5,SUM($W$6:$W96)-9,))+(OFFSET($B$5,SUM($W$6:$W96)-10,)-OFFSET($B$5,SUM($W$6:$W96)-11,))</f>
        <v>#VALUE!</v>
      </c>
      <c r="AC96" s="439" t="e">
        <f ca="1">(OFFSET($B$5,SUM($W$6:$W96),)-OFFSET($B$5,SUM($W$6:$W96)-1,))+(OFFSET($B$5,SUM($W$6:$W96)-2,)-OFFSET($B$5,SUM($W$6:$W96)-3,))+(OFFSET($B$5,SUM($W$6:$W96)-4,)-OFFSET($B$5,SUM($W$6:$W96)-5,))+(OFFSET($B$5,SUM($W$6:$W96)-6,)-OFFSET($B$5,SUM($W$6:$W96)-7,))+(OFFSET($B$5,SUM($W$6:$W96)-8,)-OFFSET($B$5,SUM($W$6:$W96)-9,))</f>
        <v>#VALUE!</v>
      </c>
      <c r="AD96" s="439" t="e">
        <f ca="1">(OFFSET($B$5,SUM($W$6:$W96),)-OFFSET($B$5,SUM($W$6:$W96)-1,))+(OFFSET($B$5,SUM($W$6:$W96)-2,)-OFFSET($B$5,SUM($W$6:$W96)-3,))+(OFFSET($B$5,SUM($W$6:$W96)-4,)-OFFSET($B$5,SUM($W$6:$W96)-5,))+(OFFSET($B$5,SUM($W$6:$W96)-6,)-OFFSET($B$5,SUM($W$6:$W96)-7,))</f>
        <v>#VALUE!</v>
      </c>
      <c r="AE96" s="439" t="e">
        <f ca="1">(OFFSET($B$5,SUM($W$6:$W96),)-OFFSET($B$5,SUM($W$6:$W96)-1,))+(OFFSET($B$5,SUM($W$6:$W96)-2,)-OFFSET($B$5,SUM($W$6:$W96)-3,))+(OFFSET($B$5,SUM($W$6:$W96)-4,)-OFFSET($B$5,SUM($W$6:$W96)-5,))</f>
        <v>#VALUE!</v>
      </c>
      <c r="AF96" s="439" t="e">
        <f ca="1">(OFFSET($B$5,SUM($W$6:$W96),)-OFFSET($B$5,SUM($W$6:$W96)-1,))+(OFFSET($B$5,SUM($W$6:$W96)-2,)-OFFSET($B$5,SUM($W$6:$W96)-3,))</f>
        <v>#VALUE!</v>
      </c>
      <c r="AG96" s="439" t="e">
        <f ca="1">(OFFSET($B$5,SUM($W$6:$W96),)-OFFSET($B$5,SUM($W$6:$W96)-1,))</f>
        <v>#VALUE!</v>
      </c>
      <c r="AH96" s="439" t="e">
        <f ca="1">(OFFSET($B$5,SUM($W$6:$W96)-1,)-OFFSET($B$5,SUM($W$6:$W96)-2,))+(OFFSET($B$5,SUM($W$6:$W96)-3,)-OFFSET($B$5,SUM($W$6:$W96)-4,))+(OFFSET($B$5,SUM($W$6:$W96)-5,)-OFFSET($B$5,SUM($W$6:$W96)-6,))+(OFFSET($B$5,SUM($W$6:$W96)-7,)-OFFSET($B$5,SUM($W$6:$W96)-8,))+(OFFSET($B$5,SUM($W$6:$W96)-9,)-OFFSET($B$5,SUM($W$6:$W96)-10,))</f>
        <v>#REF!</v>
      </c>
      <c r="AI96" s="439" t="e">
        <f ca="1">(OFFSET($B$5,SUM($W$6:$W96)-1,)-OFFSET($B$5,SUM($W$6:$W96)-2,))+(OFFSET($B$5,SUM($W$6:$W96)-3,)-OFFSET($B$5,SUM($W$6:$W96)-4,))+(OFFSET($B$5,SUM($W$6:$W96)-5,)-OFFSET($B$5,SUM($W$6:$W96)-6,))+(OFFSET($B$5,SUM($W$6:$W96)-7,)-OFFSET($B$5,SUM($W$6:$W96)-8,))</f>
        <v>#REF!</v>
      </c>
      <c r="AJ96" s="439" t="e">
        <f ca="1">(OFFSET($B$5,SUM($W$6:$W96)-1,)-OFFSET($B$5,SUM($W$6:$W96)-2,))+(OFFSET($B$5,SUM($W$6:$W96)-3,)-OFFSET($B$5,SUM($W$6:$W96)-4,))+(OFFSET($B$5,SUM($W$6:$W96)-5,)-OFFSET($B$5,SUM($W$6:$W96)-6,))</f>
        <v>#REF!</v>
      </c>
      <c r="AK96" s="439">
        <f ca="1">(OFFSET($B$5,SUM($W$6:$W96)-1,)-OFFSET($B$5,SUM($W$6:$W96)-2,))+(OFFSET($B$5,SUM($W$6:$W96)-3,)-OFFSET($B$5,SUM($W$6:$W96)-4,))</f>
        <v>0</v>
      </c>
      <c r="AL96" s="439">
        <f ca="1">(OFFSET($B$5,SUM($W$6:$W96)-1,)-OFFSET($B$5,SUM($W$6:$W96)-2,))</f>
        <v>0</v>
      </c>
      <c r="AM96" s="433">
        <v>3.75</v>
      </c>
    </row>
    <row r="97" spans="6:39" ht="15.75" thickBot="1" x14ac:dyDescent="0.3">
      <c r="F97" s="373">
        <v>44468</v>
      </c>
      <c r="G97" s="409">
        <f t="shared" si="46"/>
        <v>44468</v>
      </c>
      <c r="H97" s="387">
        <f t="shared" si="63"/>
        <v>0</v>
      </c>
      <c r="I97" s="387">
        <f t="shared" ca="1" si="64"/>
        <v>-0.33333333333333331</v>
      </c>
      <c r="J97" s="386">
        <f ca="1">I97+J96</f>
        <v>-6.9999999999999973</v>
      </c>
      <c r="K97" s="164"/>
      <c r="L97" s="60"/>
      <c r="T97" s="438">
        <f t="shared" si="48"/>
        <v>0</v>
      </c>
      <c r="U97" s="439" t="b">
        <f t="shared" si="49"/>
        <v>0</v>
      </c>
      <c r="V97" s="440" t="b">
        <f t="shared" si="50"/>
        <v>0</v>
      </c>
      <c r="W97" s="437">
        <f t="shared" si="51"/>
        <v>0</v>
      </c>
      <c r="X97" s="439">
        <f t="shared" si="52"/>
        <v>0</v>
      </c>
      <c r="Y97" s="439">
        <f t="shared" si="53"/>
        <v>0</v>
      </c>
      <c r="Z97" s="439">
        <f t="shared" si="26"/>
        <v>0</v>
      </c>
      <c r="AA97" s="439" t="e">
        <f ca="1">(OFFSET($B$5,SUM($W$6:$W97),)-OFFSET($B$5,(SUM($W$6:$W97)-SUM($W97:$W97)+1),))</f>
        <v>#VALUE!</v>
      </c>
      <c r="AB97" s="439" t="e">
        <f ca="1">(OFFSET($B$5,SUM($W$6:$W97),)-OFFSET($B$5,SUM($W$6:$W97)-1,))+(OFFSET($B$5,SUM($W$6:$W97)-2,)-OFFSET($B$5,SUM($W$6:$W97)-3,))+(OFFSET($B$5,SUM($W$6:$W97)-4,)-OFFSET($B$5,SUM($W$6:$W97)-5,))+(OFFSET($B$5,SUM($W$6:$W97)-6,)-OFFSET($B$5,SUM($W$6:$W97)-7,))+(OFFSET($B$5,SUM($W$6:$W97)-8,)-OFFSET($B$5,SUM($W$6:$W97)-9,))+(OFFSET($B$5,SUM($W$6:$W97)-10,)-OFFSET($B$5,SUM($W$6:$W97)-11,))</f>
        <v>#VALUE!</v>
      </c>
      <c r="AC97" s="439" t="e">
        <f ca="1">(OFFSET($B$5,SUM($W$6:$W97),)-OFFSET($B$5,SUM($W$6:$W97)-1,))+(OFFSET($B$5,SUM($W$6:$W97)-2,)-OFFSET($B$5,SUM($W$6:$W97)-3,))+(OFFSET($B$5,SUM($W$6:$W97)-4,)-OFFSET($B$5,SUM($W$6:$W97)-5,))+(OFFSET($B$5,SUM($W$6:$W97)-6,)-OFFSET($B$5,SUM($W$6:$W97)-7,))+(OFFSET($B$5,SUM($W$6:$W97)-8,)-OFFSET($B$5,SUM($W$6:$W97)-9,))</f>
        <v>#VALUE!</v>
      </c>
      <c r="AD97" s="439" t="e">
        <f ca="1">(OFFSET($B$5,SUM($W$6:$W97),)-OFFSET($B$5,SUM($W$6:$W97)-1,))+(OFFSET($B$5,SUM($W$6:$W97)-2,)-OFFSET($B$5,SUM($W$6:$W97)-3,))+(OFFSET($B$5,SUM($W$6:$W97)-4,)-OFFSET($B$5,SUM($W$6:$W97)-5,))+(OFFSET($B$5,SUM($W$6:$W97)-6,)-OFFSET($B$5,SUM($W$6:$W97)-7,))</f>
        <v>#VALUE!</v>
      </c>
      <c r="AE97" s="439" t="e">
        <f ca="1">(OFFSET($B$5,SUM($W$6:$W97),)-OFFSET($B$5,SUM($W$6:$W97)-1,))+(OFFSET($B$5,SUM($W$6:$W97)-2,)-OFFSET($B$5,SUM($W$6:$W97)-3,))+(OFFSET($B$5,SUM($W$6:$W97)-4,)-OFFSET($B$5,SUM($W$6:$W97)-5,))</f>
        <v>#VALUE!</v>
      </c>
      <c r="AF97" s="439" t="e">
        <f ca="1">(OFFSET($B$5,SUM($W$6:$W97),)-OFFSET($B$5,SUM($W$6:$W97)-1,))+(OFFSET($B$5,SUM($W$6:$W97)-2,)-OFFSET($B$5,SUM($W$6:$W97)-3,))</f>
        <v>#VALUE!</v>
      </c>
      <c r="AG97" s="439" t="e">
        <f ca="1">(OFFSET($B$5,SUM($W$6:$W97),)-OFFSET($B$5,SUM($W$6:$W97)-1,))</f>
        <v>#VALUE!</v>
      </c>
      <c r="AH97" s="439" t="e">
        <f ca="1">(OFFSET($B$5,SUM($W$6:$W97)-1,)-OFFSET($B$5,SUM($W$6:$W97)-2,))+(OFFSET($B$5,SUM($W$6:$W97)-3,)-OFFSET($B$5,SUM($W$6:$W97)-4,))+(OFFSET($B$5,SUM($W$6:$W97)-5,)-OFFSET($B$5,SUM($W$6:$W97)-6,))+(OFFSET($B$5,SUM($W$6:$W97)-7,)-OFFSET($B$5,SUM($W$6:$W97)-8,))+(OFFSET($B$5,SUM($W$6:$W97)-9,)-OFFSET($B$5,SUM($W$6:$W97)-10,))</f>
        <v>#REF!</v>
      </c>
      <c r="AI97" s="439" t="e">
        <f ca="1">(OFFSET($B$5,SUM($W$6:$W97)-1,)-OFFSET($B$5,SUM($W$6:$W97)-2,))+(OFFSET($B$5,SUM($W$6:$W97)-3,)-OFFSET($B$5,SUM($W$6:$W97)-4,))+(OFFSET($B$5,SUM($W$6:$W97)-5,)-OFFSET($B$5,SUM($W$6:$W97)-6,))+(OFFSET($B$5,SUM($W$6:$W97)-7,)-OFFSET($B$5,SUM($W$6:$W97)-8,))</f>
        <v>#REF!</v>
      </c>
      <c r="AJ97" s="439" t="e">
        <f ca="1">(OFFSET($B$5,SUM($W$6:$W97)-1,)-OFFSET($B$5,SUM($W$6:$W97)-2,))+(OFFSET($B$5,SUM($W$6:$W97)-3,)-OFFSET($B$5,SUM($W$6:$W97)-4,))+(OFFSET($B$5,SUM($W$6:$W97)-5,)-OFFSET($B$5,SUM($W$6:$W97)-6,))</f>
        <v>#REF!</v>
      </c>
      <c r="AK97" s="439">
        <f ca="1">(OFFSET($B$5,SUM($W$6:$W97)-1,)-OFFSET($B$5,SUM($W$6:$W97)-2,))+(OFFSET($B$5,SUM($W$6:$W97)-3,)-OFFSET($B$5,SUM($W$6:$W97)-4,))</f>
        <v>0</v>
      </c>
      <c r="AL97" s="439">
        <f ca="1">(OFFSET($B$5,SUM($W$6:$W97)-1,)-OFFSET($B$5,SUM($W$6:$W97)-2,))</f>
        <v>0</v>
      </c>
      <c r="AM97" s="433">
        <v>3.7916666666666701</v>
      </c>
    </row>
    <row r="98" spans="6:39" ht="15.75" thickBot="1" x14ac:dyDescent="0.3">
      <c r="F98" s="444">
        <v>44469</v>
      </c>
      <c r="G98" s="380">
        <f t="shared" si="46"/>
        <v>44469</v>
      </c>
      <c r="H98" s="388">
        <f>X98</f>
        <v>0</v>
      </c>
      <c r="I98" s="388">
        <f ca="1">IFERROR(H98+T98+OFFSET($L$99,MATCH(F98,$K$100:$K$128,0),0)-$W$2,H98-$W$2)</f>
        <v>-0.33333333333333331</v>
      </c>
      <c r="J98" s="386">
        <f ca="1">I98</f>
        <v>-0.33333333333333331</v>
      </c>
      <c r="K98" s="495" t="s">
        <v>16</v>
      </c>
      <c r="L98" s="496"/>
      <c r="T98" s="438">
        <f t="shared" si="48"/>
        <v>0</v>
      </c>
      <c r="U98" s="439" t="b">
        <f t="shared" si="49"/>
        <v>0</v>
      </c>
      <c r="V98" s="440" t="b">
        <f t="shared" si="50"/>
        <v>0</v>
      </c>
      <c r="W98" s="437">
        <f t="shared" si="51"/>
        <v>0</v>
      </c>
      <c r="X98" s="439">
        <f t="shared" si="52"/>
        <v>0</v>
      </c>
      <c r="Y98" s="439">
        <f t="shared" si="53"/>
        <v>0</v>
      </c>
      <c r="Z98" s="439">
        <f t="shared" si="26"/>
        <v>0</v>
      </c>
      <c r="AA98" s="439" t="e">
        <f ca="1">(OFFSET($B$5,SUM($W$6:$W98),)-OFFSET($B$5,(SUM($W$6:$W98)-SUM($W98:$W98)+1),))</f>
        <v>#VALUE!</v>
      </c>
      <c r="AB98" s="439" t="e">
        <f ca="1">(OFFSET($B$5,SUM($W$6:$W98),)-OFFSET($B$5,SUM($W$6:$W98)-1,))+(OFFSET($B$5,SUM($W$6:$W98)-2,)-OFFSET($B$5,SUM($W$6:$W98)-3,))+(OFFSET($B$5,SUM($W$6:$W98)-4,)-OFFSET($B$5,SUM($W$6:$W98)-5,))+(OFFSET($B$5,SUM($W$6:$W98)-6,)-OFFSET($B$5,SUM($W$6:$W98)-7,))+(OFFSET($B$5,SUM($W$6:$W98)-8,)-OFFSET($B$5,SUM($W$6:$W98)-9,))+(OFFSET($B$5,SUM($W$6:$W98)-10,)-OFFSET($B$5,SUM($W$6:$W98)-11,))</f>
        <v>#VALUE!</v>
      </c>
      <c r="AC98" s="439" t="e">
        <f ca="1">(OFFSET($B$5,SUM($W$6:$W98),)-OFFSET($B$5,SUM($W$6:$W98)-1,))+(OFFSET($B$5,SUM($W$6:$W98)-2,)-OFFSET($B$5,SUM($W$6:$W98)-3,))+(OFFSET($B$5,SUM($W$6:$W98)-4,)-OFFSET($B$5,SUM($W$6:$W98)-5,))+(OFFSET($B$5,SUM($W$6:$W98)-6,)-OFFSET($B$5,SUM($W$6:$W98)-7,))+(OFFSET($B$5,SUM($W$6:$W98)-8,)-OFFSET($B$5,SUM($W$6:$W98)-9,))</f>
        <v>#VALUE!</v>
      </c>
      <c r="AD98" s="439" t="e">
        <f ca="1">(OFFSET($B$5,SUM($W$6:$W98),)-OFFSET($B$5,SUM($W$6:$W98)-1,))+(OFFSET($B$5,SUM($W$6:$W98)-2,)-OFFSET($B$5,SUM($W$6:$W98)-3,))+(OFFSET($B$5,SUM($W$6:$W98)-4,)-OFFSET($B$5,SUM($W$6:$W98)-5,))+(OFFSET($B$5,SUM($W$6:$W98)-6,)-OFFSET($B$5,SUM($W$6:$W98)-7,))</f>
        <v>#VALUE!</v>
      </c>
      <c r="AE98" s="439" t="e">
        <f ca="1">(OFFSET($B$5,SUM($W$6:$W98),)-OFFSET($B$5,SUM($W$6:$W98)-1,))+(OFFSET($B$5,SUM($W$6:$W98)-2,)-OFFSET($B$5,SUM($W$6:$W98)-3,))+(OFFSET($B$5,SUM($W$6:$W98)-4,)-OFFSET($B$5,SUM($W$6:$W98)-5,))</f>
        <v>#VALUE!</v>
      </c>
      <c r="AF98" s="439" t="e">
        <f ca="1">(OFFSET($B$5,SUM($W$6:$W98),)-OFFSET($B$5,SUM($W$6:$W98)-1,))+(OFFSET($B$5,SUM($W$6:$W98)-2,)-OFFSET($B$5,SUM($W$6:$W98)-3,))</f>
        <v>#VALUE!</v>
      </c>
      <c r="AG98" s="439" t="e">
        <f ca="1">(OFFSET($B$5,SUM($W$6:$W98),)-OFFSET($B$5,SUM($W$6:$W98)-1,))</f>
        <v>#VALUE!</v>
      </c>
      <c r="AH98" s="439" t="e">
        <f ca="1">(OFFSET($B$5,SUM($W$6:$W98)-1,)-OFFSET($B$5,SUM($W$6:$W98)-2,))+(OFFSET($B$5,SUM($W$6:$W98)-3,)-OFFSET($B$5,SUM($W$6:$W98)-4,))+(OFFSET($B$5,SUM($W$6:$W98)-5,)-OFFSET($B$5,SUM($W$6:$W98)-6,))+(OFFSET($B$5,SUM($W$6:$W98)-7,)-OFFSET($B$5,SUM($W$6:$W98)-8,))+(OFFSET($B$5,SUM($W$6:$W98)-9,)-OFFSET($B$5,SUM($W$6:$W98)-10,))</f>
        <v>#REF!</v>
      </c>
      <c r="AI98" s="439" t="e">
        <f ca="1">(OFFSET($B$5,SUM($W$6:$W98)-1,)-OFFSET($B$5,SUM($W$6:$W98)-2,))+(OFFSET($B$5,SUM($W$6:$W98)-3,)-OFFSET($B$5,SUM($W$6:$W98)-4,))+(OFFSET($B$5,SUM($W$6:$W98)-5,)-OFFSET($B$5,SUM($W$6:$W98)-6,))+(OFFSET($B$5,SUM($W$6:$W98)-7,)-OFFSET($B$5,SUM($W$6:$W98)-8,))</f>
        <v>#REF!</v>
      </c>
      <c r="AJ98" s="439" t="e">
        <f ca="1">(OFFSET($B$5,SUM($W$6:$W98)-1,)-OFFSET($B$5,SUM($W$6:$W98)-2,))+(OFFSET($B$5,SUM($W$6:$W98)-3,)-OFFSET($B$5,SUM($W$6:$W98)-4,))+(OFFSET($B$5,SUM($W$6:$W98)-5,)-OFFSET($B$5,SUM($W$6:$W98)-6,))</f>
        <v>#REF!</v>
      </c>
      <c r="AK98" s="439">
        <f ca="1">(OFFSET($B$5,SUM($W$6:$W98)-1,)-OFFSET($B$5,SUM($W$6:$W98)-2,))+(OFFSET($B$5,SUM($W$6:$W98)-3,)-OFFSET($B$5,SUM($W$6:$W98)-4,))</f>
        <v>0</v>
      </c>
      <c r="AL98" s="439">
        <f ca="1">(OFFSET($B$5,SUM($W$6:$W98)-1,)-OFFSET($B$5,SUM($W$6:$W98)-2,))</f>
        <v>0</v>
      </c>
      <c r="AM98" s="433">
        <v>3.8333333333333299</v>
      </c>
    </row>
    <row r="99" spans="6:39" x14ac:dyDescent="0.25">
      <c r="F99" s="374">
        <v>44470</v>
      </c>
      <c r="G99" s="370">
        <f t="shared" si="46"/>
        <v>44470</v>
      </c>
      <c r="H99" s="388">
        <f>X99</f>
        <v>0</v>
      </c>
      <c r="I99" s="388">
        <f t="shared" ref="I99:I100" ca="1" si="65">IFERROR(H99+T99+OFFSET($L$99,MATCH(F99,$K$100:$K$128,0),0)-$W$2,H99-$W$2)</f>
        <v>-0.33333333333333331</v>
      </c>
      <c r="J99" s="386">
        <f t="shared" ref="J99:J100" ca="1" si="66">I99+J98</f>
        <v>-0.66666666666666663</v>
      </c>
      <c r="K99" s="401" t="s">
        <v>14</v>
      </c>
      <c r="L99" s="395" t="s">
        <v>15</v>
      </c>
      <c r="T99" s="438">
        <f t="shared" si="48"/>
        <v>0</v>
      </c>
      <c r="U99" s="439" t="b">
        <f t="shared" si="49"/>
        <v>0</v>
      </c>
      <c r="V99" s="440" t="b">
        <f t="shared" si="50"/>
        <v>0</v>
      </c>
      <c r="W99" s="437">
        <f t="shared" si="51"/>
        <v>0</v>
      </c>
      <c r="X99" s="439">
        <f t="shared" si="52"/>
        <v>0</v>
      </c>
      <c r="Y99" s="439">
        <f t="shared" si="53"/>
        <v>0</v>
      </c>
      <c r="Z99" s="439">
        <f t="shared" si="26"/>
        <v>0</v>
      </c>
      <c r="AA99" s="439" t="e">
        <f ca="1">(OFFSET($B$5,SUM($W$6:$W99),)-OFFSET($B$5,(SUM($W$6:$W99)-SUM($W99:$W99)+1),))</f>
        <v>#VALUE!</v>
      </c>
      <c r="AB99" s="439" t="e">
        <f ca="1">(OFFSET($B$5,SUM($W$6:$W99),)-OFFSET($B$5,SUM($W$6:$W99)-1,))+(OFFSET($B$5,SUM($W$6:$W99)-2,)-OFFSET($B$5,SUM($W$6:$W99)-3,))+(OFFSET($B$5,SUM($W$6:$W99)-4,)-OFFSET($B$5,SUM($W$6:$W99)-5,))+(OFFSET($B$5,SUM($W$6:$W99)-6,)-OFFSET($B$5,SUM($W$6:$W99)-7,))+(OFFSET($B$5,SUM($W$6:$W99)-8,)-OFFSET($B$5,SUM($W$6:$W99)-9,))+(OFFSET($B$5,SUM($W$6:$W99)-10,)-OFFSET($B$5,SUM($W$6:$W99)-11,))</f>
        <v>#VALUE!</v>
      </c>
      <c r="AC99" s="439" t="e">
        <f ca="1">(OFFSET($B$5,SUM($W$6:$W99),)-OFFSET($B$5,SUM($W$6:$W99)-1,))+(OFFSET($B$5,SUM($W$6:$W99)-2,)-OFFSET($B$5,SUM($W$6:$W99)-3,))+(OFFSET($B$5,SUM($W$6:$W99)-4,)-OFFSET($B$5,SUM($W$6:$W99)-5,))+(OFFSET($B$5,SUM($W$6:$W99)-6,)-OFFSET($B$5,SUM($W$6:$W99)-7,))+(OFFSET($B$5,SUM($W$6:$W99)-8,)-OFFSET($B$5,SUM($W$6:$W99)-9,))</f>
        <v>#VALUE!</v>
      </c>
      <c r="AD99" s="439" t="e">
        <f ca="1">(OFFSET($B$5,SUM($W$6:$W99),)-OFFSET($B$5,SUM($W$6:$W99)-1,))+(OFFSET($B$5,SUM($W$6:$W99)-2,)-OFFSET($B$5,SUM($W$6:$W99)-3,))+(OFFSET($B$5,SUM($W$6:$W99)-4,)-OFFSET($B$5,SUM($W$6:$W99)-5,))+(OFFSET($B$5,SUM($W$6:$W99)-6,)-OFFSET($B$5,SUM($W$6:$W99)-7,))</f>
        <v>#VALUE!</v>
      </c>
      <c r="AE99" s="439" t="e">
        <f ca="1">(OFFSET($B$5,SUM($W$6:$W99),)-OFFSET($B$5,SUM($W$6:$W99)-1,))+(OFFSET($B$5,SUM($W$6:$W99)-2,)-OFFSET($B$5,SUM($W$6:$W99)-3,))+(OFFSET($B$5,SUM($W$6:$W99)-4,)-OFFSET($B$5,SUM($W$6:$W99)-5,))</f>
        <v>#VALUE!</v>
      </c>
      <c r="AF99" s="439" t="e">
        <f ca="1">(OFFSET($B$5,SUM($W$6:$W99),)-OFFSET($B$5,SUM($W$6:$W99)-1,))+(OFFSET($B$5,SUM($W$6:$W99)-2,)-OFFSET($B$5,SUM($W$6:$W99)-3,))</f>
        <v>#VALUE!</v>
      </c>
      <c r="AG99" s="439" t="e">
        <f ca="1">(OFFSET($B$5,SUM($W$6:$W99),)-OFFSET($B$5,SUM($W$6:$W99)-1,))</f>
        <v>#VALUE!</v>
      </c>
      <c r="AH99" s="439" t="e">
        <f ca="1">(OFFSET($B$5,SUM($W$6:$W99)-1,)-OFFSET($B$5,SUM($W$6:$W99)-2,))+(OFFSET($B$5,SUM($W$6:$W99)-3,)-OFFSET($B$5,SUM($W$6:$W99)-4,))+(OFFSET($B$5,SUM($W$6:$W99)-5,)-OFFSET($B$5,SUM($W$6:$W99)-6,))+(OFFSET($B$5,SUM($W$6:$W99)-7,)-OFFSET($B$5,SUM($W$6:$W99)-8,))+(OFFSET($B$5,SUM($W$6:$W99)-9,)-OFFSET($B$5,SUM($W$6:$W99)-10,))</f>
        <v>#REF!</v>
      </c>
      <c r="AI99" s="439" t="e">
        <f ca="1">(OFFSET($B$5,SUM($W$6:$W99)-1,)-OFFSET($B$5,SUM($W$6:$W99)-2,))+(OFFSET($B$5,SUM($W$6:$W99)-3,)-OFFSET($B$5,SUM($W$6:$W99)-4,))+(OFFSET($B$5,SUM($W$6:$W99)-5,)-OFFSET($B$5,SUM($W$6:$W99)-6,))+(OFFSET($B$5,SUM($W$6:$W99)-7,)-OFFSET($B$5,SUM($W$6:$W99)-8,))</f>
        <v>#REF!</v>
      </c>
      <c r="AJ99" s="439" t="e">
        <f ca="1">(OFFSET($B$5,SUM($W$6:$W99)-1,)-OFFSET($B$5,SUM($W$6:$W99)-2,))+(OFFSET($B$5,SUM($W$6:$W99)-3,)-OFFSET($B$5,SUM($W$6:$W99)-4,))+(OFFSET($B$5,SUM($W$6:$W99)-5,)-OFFSET($B$5,SUM($W$6:$W99)-6,))</f>
        <v>#REF!</v>
      </c>
      <c r="AK99" s="439">
        <f ca="1">(OFFSET($B$5,SUM($W$6:$W99)-1,)-OFFSET($B$5,SUM($W$6:$W99)-2,))+(OFFSET($B$5,SUM($W$6:$W99)-3,)-OFFSET($B$5,SUM($W$6:$W99)-4,))</f>
        <v>0</v>
      </c>
      <c r="AL99" s="439">
        <f ca="1">(OFFSET($B$5,SUM($W$6:$W99)-1,)-OFFSET($B$5,SUM($W$6:$W99)-2,))</f>
        <v>0</v>
      </c>
      <c r="AM99" s="433">
        <v>3.875</v>
      </c>
    </row>
    <row r="100" spans="6:39" x14ac:dyDescent="0.25">
      <c r="F100" s="374">
        <v>44471</v>
      </c>
      <c r="G100" s="370">
        <f t="shared" si="46"/>
        <v>44471</v>
      </c>
      <c r="H100" s="388">
        <f>X100</f>
        <v>0</v>
      </c>
      <c r="I100" s="388">
        <f t="shared" ca="1" si="65"/>
        <v>-0.33333333333333331</v>
      </c>
      <c r="J100" s="386">
        <f t="shared" ca="1" si="66"/>
        <v>-1</v>
      </c>
      <c r="K100" s="163"/>
      <c r="L100" s="59"/>
      <c r="T100" s="438">
        <f t="shared" si="48"/>
        <v>0</v>
      </c>
      <c r="U100" s="439" t="b">
        <f t="shared" si="49"/>
        <v>0</v>
      </c>
      <c r="V100" s="440" t="b">
        <f t="shared" si="50"/>
        <v>0</v>
      </c>
      <c r="W100" s="437">
        <f t="shared" si="51"/>
        <v>0</v>
      </c>
      <c r="X100" s="439">
        <f t="shared" si="52"/>
        <v>0</v>
      </c>
      <c r="Y100" s="439">
        <f t="shared" si="53"/>
        <v>0</v>
      </c>
      <c r="Z100" s="439">
        <f t="shared" si="26"/>
        <v>0</v>
      </c>
      <c r="AA100" s="439" t="e">
        <f ca="1">(OFFSET($B$5,SUM($W$6:$W100),)-OFFSET($B$5,(SUM($W$6:$W100)-SUM($W100:$W100)+1),))</f>
        <v>#VALUE!</v>
      </c>
      <c r="AB100" s="439" t="e">
        <f ca="1">(OFFSET($B$5,SUM($W$6:$W100),)-OFFSET($B$5,SUM($W$6:$W100)-1,))+(OFFSET($B$5,SUM($W$6:$W100)-2,)-OFFSET($B$5,SUM($W$6:$W100)-3,))+(OFFSET($B$5,SUM($W$6:$W100)-4,)-OFFSET($B$5,SUM($W$6:$W100)-5,))+(OFFSET($B$5,SUM($W$6:$W100)-6,)-OFFSET($B$5,SUM($W$6:$W100)-7,))+(OFFSET($B$5,SUM($W$6:$W100)-8,)-OFFSET($B$5,SUM($W$6:$W100)-9,))+(OFFSET($B$5,SUM($W$6:$W100)-10,)-OFFSET($B$5,SUM($W$6:$W100)-11,))</f>
        <v>#VALUE!</v>
      </c>
      <c r="AC100" s="439" t="e">
        <f ca="1">(OFFSET($B$5,SUM($W$6:$W100),)-OFFSET($B$5,SUM($W$6:$W100)-1,))+(OFFSET($B$5,SUM($W$6:$W100)-2,)-OFFSET($B$5,SUM($W$6:$W100)-3,))+(OFFSET($B$5,SUM($W$6:$W100)-4,)-OFFSET($B$5,SUM($W$6:$W100)-5,))+(OFFSET($B$5,SUM($W$6:$W100)-6,)-OFFSET($B$5,SUM($W$6:$W100)-7,))+(OFFSET($B$5,SUM($W$6:$W100)-8,)-OFFSET($B$5,SUM($W$6:$W100)-9,))</f>
        <v>#VALUE!</v>
      </c>
      <c r="AD100" s="439" t="e">
        <f ca="1">(OFFSET($B$5,SUM($W$6:$W100),)-OFFSET($B$5,SUM($W$6:$W100)-1,))+(OFFSET($B$5,SUM($W$6:$W100)-2,)-OFFSET($B$5,SUM($W$6:$W100)-3,))+(OFFSET($B$5,SUM($W$6:$W100)-4,)-OFFSET($B$5,SUM($W$6:$W100)-5,))+(OFFSET($B$5,SUM($W$6:$W100)-6,)-OFFSET($B$5,SUM($W$6:$W100)-7,))</f>
        <v>#VALUE!</v>
      </c>
      <c r="AE100" s="439" t="e">
        <f ca="1">(OFFSET($B$5,SUM($W$6:$W100),)-OFFSET($B$5,SUM($W$6:$W100)-1,))+(OFFSET($B$5,SUM($W$6:$W100)-2,)-OFFSET($B$5,SUM($W$6:$W100)-3,))+(OFFSET($B$5,SUM($W$6:$W100)-4,)-OFFSET($B$5,SUM($W$6:$W100)-5,))</f>
        <v>#VALUE!</v>
      </c>
      <c r="AF100" s="439" t="e">
        <f ca="1">(OFFSET($B$5,SUM($W$6:$W100),)-OFFSET($B$5,SUM($W$6:$W100)-1,))+(OFFSET($B$5,SUM($W$6:$W100)-2,)-OFFSET($B$5,SUM($W$6:$W100)-3,))</f>
        <v>#VALUE!</v>
      </c>
      <c r="AG100" s="439" t="e">
        <f ca="1">(OFFSET($B$5,SUM($W$6:$W100),)-OFFSET($B$5,SUM($W$6:$W100)-1,))</f>
        <v>#VALUE!</v>
      </c>
      <c r="AH100" s="439" t="e">
        <f ca="1">(OFFSET($B$5,SUM($W$6:$W100)-1,)-OFFSET($B$5,SUM($W$6:$W100)-2,))+(OFFSET($B$5,SUM($W$6:$W100)-3,)-OFFSET($B$5,SUM($W$6:$W100)-4,))+(OFFSET($B$5,SUM($W$6:$W100)-5,)-OFFSET($B$5,SUM($W$6:$W100)-6,))+(OFFSET($B$5,SUM($W$6:$W100)-7,)-OFFSET($B$5,SUM($W$6:$W100)-8,))+(OFFSET($B$5,SUM($W$6:$W100)-9,)-OFFSET($B$5,SUM($W$6:$W100)-10,))</f>
        <v>#REF!</v>
      </c>
      <c r="AI100" s="439" t="e">
        <f ca="1">(OFFSET($B$5,SUM($W$6:$W100)-1,)-OFFSET($B$5,SUM($W$6:$W100)-2,))+(OFFSET($B$5,SUM($W$6:$W100)-3,)-OFFSET($B$5,SUM($W$6:$W100)-4,))+(OFFSET($B$5,SUM($W$6:$W100)-5,)-OFFSET($B$5,SUM($W$6:$W100)-6,))+(OFFSET($B$5,SUM($W$6:$W100)-7,)-OFFSET($B$5,SUM($W$6:$W100)-8,))</f>
        <v>#REF!</v>
      </c>
      <c r="AJ100" s="439" t="e">
        <f ca="1">(OFFSET($B$5,SUM($W$6:$W100)-1,)-OFFSET($B$5,SUM($W$6:$W100)-2,))+(OFFSET($B$5,SUM($W$6:$W100)-3,)-OFFSET($B$5,SUM($W$6:$W100)-4,))+(OFFSET($B$5,SUM($W$6:$W100)-5,)-OFFSET($B$5,SUM($W$6:$W100)-6,))</f>
        <v>#REF!</v>
      </c>
      <c r="AK100" s="439">
        <f ca="1">(OFFSET($B$5,SUM($W$6:$W100)-1,)-OFFSET($B$5,SUM($W$6:$W100)-2,))+(OFFSET($B$5,SUM($W$6:$W100)-3,)-OFFSET($B$5,SUM($W$6:$W100)-4,))</f>
        <v>0</v>
      </c>
      <c r="AL100" s="439">
        <f ca="1">(OFFSET($B$5,SUM($W$6:$W100)-1,)-OFFSET($B$5,SUM($W$6:$W100)-2,))</f>
        <v>0</v>
      </c>
      <c r="AM100" s="433">
        <v>3.9166666666666701</v>
      </c>
    </row>
    <row r="101" spans="6:39" x14ac:dyDescent="0.25">
      <c r="F101" s="374">
        <v>44472</v>
      </c>
      <c r="G101" s="404">
        <f t="shared" si="46"/>
        <v>44472</v>
      </c>
      <c r="H101" s="389"/>
      <c r="I101" s="389"/>
      <c r="J101" s="389"/>
      <c r="K101" s="163"/>
      <c r="L101" s="59"/>
      <c r="T101" s="438">
        <f t="shared" si="48"/>
        <v>0</v>
      </c>
      <c r="U101" s="439" t="b">
        <f t="shared" si="49"/>
        <v>0</v>
      </c>
      <c r="V101" s="440" t="b">
        <f t="shared" si="50"/>
        <v>0</v>
      </c>
      <c r="W101" s="437">
        <f t="shared" si="51"/>
        <v>0</v>
      </c>
      <c r="X101" s="439">
        <f t="shared" si="52"/>
        <v>0</v>
      </c>
      <c r="Y101" s="439">
        <f t="shared" si="53"/>
        <v>0</v>
      </c>
      <c r="Z101" s="439">
        <f t="shared" ref="Z101:Z164" si="67">X101+Y101</f>
        <v>0</v>
      </c>
      <c r="AA101" s="439" t="e">
        <f ca="1">(OFFSET($B$5,SUM($W$6:$W101),)-OFFSET($B$5,(SUM($W$6:$W101)-SUM($W101:$W101)+1),))</f>
        <v>#VALUE!</v>
      </c>
      <c r="AB101" s="439" t="e">
        <f ca="1">(OFFSET($B$5,SUM($W$6:$W101),)-OFFSET($B$5,SUM($W$6:$W101)-1,))+(OFFSET($B$5,SUM($W$6:$W101)-2,)-OFFSET($B$5,SUM($W$6:$W101)-3,))+(OFFSET($B$5,SUM($W$6:$W101)-4,)-OFFSET($B$5,SUM($W$6:$W101)-5,))+(OFFSET($B$5,SUM($W$6:$W101)-6,)-OFFSET($B$5,SUM($W$6:$W101)-7,))+(OFFSET($B$5,SUM($W$6:$W101)-8,)-OFFSET($B$5,SUM($W$6:$W101)-9,))+(OFFSET($B$5,SUM($W$6:$W101)-10,)-OFFSET($B$5,SUM($W$6:$W101)-11,))</f>
        <v>#VALUE!</v>
      </c>
      <c r="AC101" s="439" t="e">
        <f ca="1">(OFFSET($B$5,SUM($W$6:$W101),)-OFFSET($B$5,SUM($W$6:$W101)-1,))+(OFFSET($B$5,SUM($W$6:$W101)-2,)-OFFSET($B$5,SUM($W$6:$W101)-3,))+(OFFSET($B$5,SUM($W$6:$W101)-4,)-OFFSET($B$5,SUM($W$6:$W101)-5,))+(OFFSET($B$5,SUM($W$6:$W101)-6,)-OFFSET($B$5,SUM($W$6:$W101)-7,))+(OFFSET($B$5,SUM($W$6:$W101)-8,)-OFFSET($B$5,SUM($W$6:$W101)-9,))</f>
        <v>#VALUE!</v>
      </c>
      <c r="AD101" s="439" t="e">
        <f ca="1">(OFFSET($B$5,SUM($W$6:$W101),)-OFFSET($B$5,SUM($W$6:$W101)-1,))+(OFFSET($B$5,SUM($W$6:$W101)-2,)-OFFSET($B$5,SUM($W$6:$W101)-3,))+(OFFSET($B$5,SUM($W$6:$W101)-4,)-OFFSET($B$5,SUM($W$6:$W101)-5,))+(OFFSET($B$5,SUM($W$6:$W101)-6,)-OFFSET($B$5,SUM($W$6:$W101)-7,))</f>
        <v>#VALUE!</v>
      </c>
      <c r="AE101" s="439" t="e">
        <f ca="1">(OFFSET($B$5,SUM($W$6:$W101),)-OFFSET($B$5,SUM($W$6:$W101)-1,))+(OFFSET($B$5,SUM($W$6:$W101)-2,)-OFFSET($B$5,SUM($W$6:$W101)-3,))+(OFFSET($B$5,SUM($W$6:$W101)-4,)-OFFSET($B$5,SUM($W$6:$W101)-5,))</f>
        <v>#VALUE!</v>
      </c>
      <c r="AF101" s="439" t="e">
        <f ca="1">(OFFSET($B$5,SUM($W$6:$W101),)-OFFSET($B$5,SUM($W$6:$W101)-1,))+(OFFSET($B$5,SUM($W$6:$W101)-2,)-OFFSET($B$5,SUM($W$6:$W101)-3,))</f>
        <v>#VALUE!</v>
      </c>
      <c r="AG101" s="439" t="e">
        <f ca="1">(OFFSET($B$5,SUM($W$6:$W101),)-OFFSET($B$5,SUM($W$6:$W101)-1,))</f>
        <v>#VALUE!</v>
      </c>
      <c r="AH101" s="439" t="e">
        <f ca="1">(OFFSET($B$5,SUM($W$6:$W101)-1,)-OFFSET($B$5,SUM($W$6:$W101)-2,))+(OFFSET($B$5,SUM($W$6:$W101)-3,)-OFFSET($B$5,SUM($W$6:$W101)-4,))+(OFFSET($B$5,SUM($W$6:$W101)-5,)-OFFSET($B$5,SUM($W$6:$W101)-6,))+(OFFSET($B$5,SUM($W$6:$W101)-7,)-OFFSET($B$5,SUM($W$6:$W101)-8,))+(OFFSET($B$5,SUM($W$6:$W101)-9,)-OFFSET($B$5,SUM($W$6:$W101)-10,))</f>
        <v>#REF!</v>
      </c>
      <c r="AI101" s="439" t="e">
        <f ca="1">(OFFSET($B$5,SUM($W$6:$W101)-1,)-OFFSET($B$5,SUM($W$6:$W101)-2,))+(OFFSET($B$5,SUM($W$6:$W101)-3,)-OFFSET($B$5,SUM($W$6:$W101)-4,))+(OFFSET($B$5,SUM($W$6:$W101)-5,)-OFFSET($B$5,SUM($W$6:$W101)-6,))+(OFFSET($B$5,SUM($W$6:$W101)-7,)-OFFSET($B$5,SUM($W$6:$W101)-8,))</f>
        <v>#REF!</v>
      </c>
      <c r="AJ101" s="439" t="e">
        <f ca="1">(OFFSET($B$5,SUM($W$6:$W101)-1,)-OFFSET($B$5,SUM($W$6:$W101)-2,))+(OFFSET($B$5,SUM($W$6:$W101)-3,)-OFFSET($B$5,SUM($W$6:$W101)-4,))+(OFFSET($B$5,SUM($W$6:$W101)-5,)-OFFSET($B$5,SUM($W$6:$W101)-6,))</f>
        <v>#REF!</v>
      </c>
      <c r="AK101" s="439">
        <f ca="1">(OFFSET($B$5,SUM($W$6:$W101)-1,)-OFFSET($B$5,SUM($W$6:$W101)-2,))+(OFFSET($B$5,SUM($W$6:$W101)-3,)-OFFSET($B$5,SUM($W$6:$W101)-4,))</f>
        <v>0</v>
      </c>
      <c r="AL101" s="439">
        <f ca="1">(OFFSET($B$5,SUM($W$6:$W101)-1,)-OFFSET($B$5,SUM($W$6:$W101)-2,))</f>
        <v>0</v>
      </c>
      <c r="AM101" s="433">
        <v>3.9583333333333299</v>
      </c>
    </row>
    <row r="102" spans="6:39" x14ac:dyDescent="0.25">
      <c r="F102" s="374">
        <v>44473</v>
      </c>
      <c r="G102" s="404">
        <f t="shared" si="46"/>
        <v>44473</v>
      </c>
      <c r="H102" s="389"/>
      <c r="I102" s="389"/>
      <c r="J102" s="389"/>
      <c r="K102" s="163"/>
      <c r="L102" s="59"/>
      <c r="T102" s="438">
        <f t="shared" ref="T102:T133" si="68">IF(AND(X102&lt;$V$2,X102&gt;$U$2),U102,IF(X102&gt;$V$2,V102,$U$1))</f>
        <v>0</v>
      </c>
      <c r="U102" s="439" t="b">
        <f t="shared" ref="U102:U133" si="69">IF(AND(X102&lt;$V$2,X102&gt;$U$2),IF(Y102&lt;$V$1,$V$1,$U$1))</f>
        <v>0</v>
      </c>
      <c r="V102" s="440" t="b">
        <f t="shared" ref="V102:V133" si="70">IF(X102&gt;$V$2,IF(Y102&lt;$W$1,$W$1,$U$1))</f>
        <v>0</v>
      </c>
      <c r="W102" s="437">
        <f t="shared" ref="W102:W133" si="71">(COUNTIF($C$6:$C$9999,F102))</f>
        <v>0</v>
      </c>
      <c r="X102" s="439">
        <f t="shared" si="52"/>
        <v>0</v>
      </c>
      <c r="Y102" s="439">
        <f t="shared" si="53"/>
        <v>0</v>
      </c>
      <c r="Z102" s="439">
        <f t="shared" si="67"/>
        <v>0</v>
      </c>
      <c r="AA102" s="439" t="e">
        <f ca="1">(OFFSET($B$5,SUM($W$6:$W102),)-OFFSET($B$5,(SUM($W$6:$W102)-SUM($W102:$W102)+1),))</f>
        <v>#VALUE!</v>
      </c>
      <c r="AB102" s="439" t="e">
        <f ca="1">(OFFSET($B$5,SUM($W$6:$W102),)-OFFSET($B$5,SUM($W$6:$W102)-1,))+(OFFSET($B$5,SUM($W$6:$W102)-2,)-OFFSET($B$5,SUM($W$6:$W102)-3,))+(OFFSET($B$5,SUM($W$6:$W102)-4,)-OFFSET($B$5,SUM($W$6:$W102)-5,))+(OFFSET($B$5,SUM($W$6:$W102)-6,)-OFFSET($B$5,SUM($W$6:$W102)-7,))+(OFFSET($B$5,SUM($W$6:$W102)-8,)-OFFSET($B$5,SUM($W$6:$W102)-9,))+(OFFSET($B$5,SUM($W$6:$W102)-10,)-OFFSET($B$5,SUM($W$6:$W102)-11,))</f>
        <v>#VALUE!</v>
      </c>
      <c r="AC102" s="439" t="e">
        <f ca="1">(OFFSET($B$5,SUM($W$6:$W102),)-OFFSET($B$5,SUM($W$6:$W102)-1,))+(OFFSET($B$5,SUM($W$6:$W102)-2,)-OFFSET($B$5,SUM($W$6:$W102)-3,))+(OFFSET($B$5,SUM($W$6:$W102)-4,)-OFFSET($B$5,SUM($W$6:$W102)-5,))+(OFFSET($B$5,SUM($W$6:$W102)-6,)-OFFSET($B$5,SUM($W$6:$W102)-7,))+(OFFSET($B$5,SUM($W$6:$W102)-8,)-OFFSET($B$5,SUM($W$6:$W102)-9,))</f>
        <v>#VALUE!</v>
      </c>
      <c r="AD102" s="439" t="e">
        <f ca="1">(OFFSET($B$5,SUM($W$6:$W102),)-OFFSET($B$5,SUM($W$6:$W102)-1,))+(OFFSET($B$5,SUM($W$6:$W102)-2,)-OFFSET($B$5,SUM($W$6:$W102)-3,))+(OFFSET($B$5,SUM($W$6:$W102)-4,)-OFFSET($B$5,SUM($W$6:$W102)-5,))+(OFFSET($B$5,SUM($W$6:$W102)-6,)-OFFSET($B$5,SUM($W$6:$W102)-7,))</f>
        <v>#VALUE!</v>
      </c>
      <c r="AE102" s="439" t="e">
        <f ca="1">(OFFSET($B$5,SUM($W$6:$W102),)-OFFSET($B$5,SUM($W$6:$W102)-1,))+(OFFSET($B$5,SUM($W$6:$W102)-2,)-OFFSET($B$5,SUM($W$6:$W102)-3,))+(OFFSET($B$5,SUM($W$6:$W102)-4,)-OFFSET($B$5,SUM($W$6:$W102)-5,))</f>
        <v>#VALUE!</v>
      </c>
      <c r="AF102" s="439" t="e">
        <f ca="1">(OFFSET($B$5,SUM($W$6:$W102),)-OFFSET($B$5,SUM($W$6:$W102)-1,))+(OFFSET($B$5,SUM($W$6:$W102)-2,)-OFFSET($B$5,SUM($W$6:$W102)-3,))</f>
        <v>#VALUE!</v>
      </c>
      <c r="AG102" s="439" t="e">
        <f ca="1">(OFFSET($B$5,SUM($W$6:$W102),)-OFFSET($B$5,SUM($W$6:$W102)-1,))</f>
        <v>#VALUE!</v>
      </c>
      <c r="AH102" s="439" t="e">
        <f ca="1">(OFFSET($B$5,SUM($W$6:$W102)-1,)-OFFSET($B$5,SUM($W$6:$W102)-2,))+(OFFSET($B$5,SUM($W$6:$W102)-3,)-OFFSET($B$5,SUM($W$6:$W102)-4,))+(OFFSET($B$5,SUM($W$6:$W102)-5,)-OFFSET($B$5,SUM($W$6:$W102)-6,))+(OFFSET($B$5,SUM($W$6:$W102)-7,)-OFFSET($B$5,SUM($W$6:$W102)-8,))+(OFFSET($B$5,SUM($W$6:$W102)-9,)-OFFSET($B$5,SUM($W$6:$W102)-10,))</f>
        <v>#REF!</v>
      </c>
      <c r="AI102" s="439" t="e">
        <f ca="1">(OFFSET($B$5,SUM($W$6:$W102)-1,)-OFFSET($B$5,SUM($W$6:$W102)-2,))+(OFFSET($B$5,SUM($W$6:$W102)-3,)-OFFSET($B$5,SUM($W$6:$W102)-4,))+(OFFSET($B$5,SUM($W$6:$W102)-5,)-OFFSET($B$5,SUM($W$6:$W102)-6,))+(OFFSET($B$5,SUM($W$6:$W102)-7,)-OFFSET($B$5,SUM($W$6:$W102)-8,))</f>
        <v>#REF!</v>
      </c>
      <c r="AJ102" s="439" t="e">
        <f ca="1">(OFFSET($B$5,SUM($W$6:$W102)-1,)-OFFSET($B$5,SUM($W$6:$W102)-2,))+(OFFSET($B$5,SUM($W$6:$W102)-3,)-OFFSET($B$5,SUM($W$6:$W102)-4,))+(OFFSET($B$5,SUM($W$6:$W102)-5,)-OFFSET($B$5,SUM($W$6:$W102)-6,))</f>
        <v>#REF!</v>
      </c>
      <c r="AK102" s="439">
        <f ca="1">(OFFSET($B$5,SUM($W$6:$W102)-1,)-OFFSET($B$5,SUM($W$6:$W102)-2,))+(OFFSET($B$5,SUM($W$6:$W102)-3,)-OFFSET($B$5,SUM($W$6:$W102)-4,))</f>
        <v>0</v>
      </c>
      <c r="AL102" s="439">
        <f ca="1">(OFFSET($B$5,SUM($W$6:$W102)-1,)-OFFSET($B$5,SUM($W$6:$W102)-2,))</f>
        <v>0</v>
      </c>
      <c r="AM102" s="433">
        <v>4</v>
      </c>
    </row>
    <row r="103" spans="6:39" x14ac:dyDescent="0.25">
      <c r="F103" s="374">
        <v>44474</v>
      </c>
      <c r="G103" s="370">
        <f t="shared" ref="G103:G133" si="72">F103</f>
        <v>44474</v>
      </c>
      <c r="H103" s="388">
        <f t="shared" ref="H103:H107" si="73">X103</f>
        <v>0</v>
      </c>
      <c r="I103" s="388">
        <f t="shared" ref="I103:I107" ca="1" si="74">IFERROR(H103+T103+OFFSET($L$99,MATCH(F103,$K$100:$K$128,0),0)-$W$2,H103-$W$2)</f>
        <v>-0.33333333333333331</v>
      </c>
      <c r="J103" s="386">
        <f ca="1">I103+J100</f>
        <v>-1.3333333333333333</v>
      </c>
      <c r="K103" s="163"/>
      <c r="L103" s="59"/>
      <c r="T103" s="438">
        <f t="shared" si="68"/>
        <v>0</v>
      </c>
      <c r="U103" s="439" t="b">
        <f t="shared" si="69"/>
        <v>0</v>
      </c>
      <c r="V103" s="440" t="b">
        <f t="shared" si="70"/>
        <v>0</v>
      </c>
      <c r="W103" s="437">
        <f t="shared" si="71"/>
        <v>0</v>
      </c>
      <c r="X103" s="439">
        <f t="shared" si="52"/>
        <v>0</v>
      </c>
      <c r="Y103" s="439">
        <f t="shared" si="53"/>
        <v>0</v>
      </c>
      <c r="Z103" s="439">
        <f t="shared" si="67"/>
        <v>0</v>
      </c>
      <c r="AA103" s="439" t="e">
        <f ca="1">(OFFSET($B$5,SUM($W$6:$W103),)-OFFSET($B$5,(SUM($W$6:$W103)-SUM($W103:$W103)+1),))</f>
        <v>#VALUE!</v>
      </c>
      <c r="AB103" s="439" t="e">
        <f ca="1">(OFFSET($B$5,SUM($W$6:$W103),)-OFFSET($B$5,SUM($W$6:$W103)-1,))+(OFFSET($B$5,SUM($W$6:$W103)-2,)-OFFSET($B$5,SUM($W$6:$W103)-3,))+(OFFSET($B$5,SUM($W$6:$W103)-4,)-OFFSET($B$5,SUM($W$6:$W103)-5,))+(OFFSET($B$5,SUM($W$6:$W103)-6,)-OFFSET($B$5,SUM($W$6:$W103)-7,))+(OFFSET($B$5,SUM($W$6:$W103)-8,)-OFFSET($B$5,SUM($W$6:$W103)-9,))+(OFFSET($B$5,SUM($W$6:$W103)-10,)-OFFSET($B$5,SUM($W$6:$W103)-11,))</f>
        <v>#VALUE!</v>
      </c>
      <c r="AC103" s="439" t="e">
        <f ca="1">(OFFSET($B$5,SUM($W$6:$W103),)-OFFSET($B$5,SUM($W$6:$W103)-1,))+(OFFSET($B$5,SUM($W$6:$W103)-2,)-OFFSET($B$5,SUM($W$6:$W103)-3,))+(OFFSET($B$5,SUM($W$6:$W103)-4,)-OFFSET($B$5,SUM($W$6:$W103)-5,))+(OFFSET($B$5,SUM($W$6:$W103)-6,)-OFFSET($B$5,SUM($W$6:$W103)-7,))+(OFFSET($B$5,SUM($W$6:$W103)-8,)-OFFSET($B$5,SUM($W$6:$W103)-9,))</f>
        <v>#VALUE!</v>
      </c>
      <c r="AD103" s="439" t="e">
        <f ca="1">(OFFSET($B$5,SUM($W$6:$W103),)-OFFSET($B$5,SUM($W$6:$W103)-1,))+(OFFSET($B$5,SUM($W$6:$W103)-2,)-OFFSET($B$5,SUM($W$6:$W103)-3,))+(OFFSET($B$5,SUM($W$6:$W103)-4,)-OFFSET($B$5,SUM($W$6:$W103)-5,))+(OFFSET($B$5,SUM($W$6:$W103)-6,)-OFFSET($B$5,SUM($W$6:$W103)-7,))</f>
        <v>#VALUE!</v>
      </c>
      <c r="AE103" s="439" t="e">
        <f ca="1">(OFFSET($B$5,SUM($W$6:$W103),)-OFFSET($B$5,SUM($W$6:$W103)-1,))+(OFFSET($B$5,SUM($W$6:$W103)-2,)-OFFSET($B$5,SUM($W$6:$W103)-3,))+(OFFSET($B$5,SUM($W$6:$W103)-4,)-OFFSET($B$5,SUM($W$6:$W103)-5,))</f>
        <v>#VALUE!</v>
      </c>
      <c r="AF103" s="439" t="e">
        <f ca="1">(OFFSET($B$5,SUM($W$6:$W103),)-OFFSET($B$5,SUM($W$6:$W103)-1,))+(OFFSET($B$5,SUM($W$6:$W103)-2,)-OFFSET($B$5,SUM($W$6:$W103)-3,))</f>
        <v>#VALUE!</v>
      </c>
      <c r="AG103" s="439" t="e">
        <f ca="1">(OFFSET($B$5,SUM($W$6:$W103),)-OFFSET($B$5,SUM($W$6:$W103)-1,))</f>
        <v>#VALUE!</v>
      </c>
      <c r="AH103" s="439" t="e">
        <f ca="1">(OFFSET($B$5,SUM($W$6:$W103)-1,)-OFFSET($B$5,SUM($W$6:$W103)-2,))+(OFFSET($B$5,SUM($W$6:$W103)-3,)-OFFSET($B$5,SUM($W$6:$W103)-4,))+(OFFSET($B$5,SUM($W$6:$W103)-5,)-OFFSET($B$5,SUM($W$6:$W103)-6,))+(OFFSET($B$5,SUM($W$6:$W103)-7,)-OFFSET($B$5,SUM($W$6:$W103)-8,))+(OFFSET($B$5,SUM($W$6:$W103)-9,)-OFFSET($B$5,SUM($W$6:$W103)-10,))</f>
        <v>#REF!</v>
      </c>
      <c r="AI103" s="439" t="e">
        <f ca="1">(OFFSET($B$5,SUM($W$6:$W103)-1,)-OFFSET($B$5,SUM($W$6:$W103)-2,))+(OFFSET($B$5,SUM($W$6:$W103)-3,)-OFFSET($B$5,SUM($W$6:$W103)-4,))+(OFFSET($B$5,SUM($W$6:$W103)-5,)-OFFSET($B$5,SUM($W$6:$W103)-6,))+(OFFSET($B$5,SUM($W$6:$W103)-7,)-OFFSET($B$5,SUM($W$6:$W103)-8,))</f>
        <v>#REF!</v>
      </c>
      <c r="AJ103" s="439" t="e">
        <f ca="1">(OFFSET($B$5,SUM($W$6:$W103)-1,)-OFFSET($B$5,SUM($W$6:$W103)-2,))+(OFFSET($B$5,SUM($W$6:$W103)-3,)-OFFSET($B$5,SUM($W$6:$W103)-4,))+(OFFSET($B$5,SUM($W$6:$W103)-5,)-OFFSET($B$5,SUM($W$6:$W103)-6,))</f>
        <v>#REF!</v>
      </c>
      <c r="AK103" s="439">
        <f ca="1">(OFFSET($B$5,SUM($W$6:$W103)-1,)-OFFSET($B$5,SUM($W$6:$W103)-2,))+(OFFSET($B$5,SUM($W$6:$W103)-3,)-OFFSET($B$5,SUM($W$6:$W103)-4,))</f>
        <v>0</v>
      </c>
      <c r="AL103" s="439">
        <f ca="1">(OFFSET($B$5,SUM($W$6:$W103)-1,)-OFFSET($B$5,SUM($W$6:$W103)-2,))</f>
        <v>0</v>
      </c>
      <c r="AM103" s="433">
        <v>4.0416666666666696</v>
      </c>
    </row>
    <row r="104" spans="6:39" x14ac:dyDescent="0.25">
      <c r="F104" s="374">
        <v>44475</v>
      </c>
      <c r="G104" s="370">
        <f t="shared" si="72"/>
        <v>44475</v>
      </c>
      <c r="H104" s="388">
        <f t="shared" si="73"/>
        <v>0</v>
      </c>
      <c r="I104" s="388">
        <f t="shared" ca="1" si="74"/>
        <v>-0.33333333333333331</v>
      </c>
      <c r="J104" s="386">
        <f ca="1">I104+J103</f>
        <v>-1.6666666666666665</v>
      </c>
      <c r="K104" s="163"/>
      <c r="L104" s="59"/>
      <c r="T104" s="438">
        <f t="shared" si="68"/>
        <v>0</v>
      </c>
      <c r="U104" s="439" t="b">
        <f t="shared" si="69"/>
        <v>0</v>
      </c>
      <c r="V104" s="440" t="b">
        <f t="shared" si="70"/>
        <v>0</v>
      </c>
      <c r="W104" s="437">
        <f t="shared" si="71"/>
        <v>0</v>
      </c>
      <c r="X104" s="439">
        <f t="shared" si="52"/>
        <v>0</v>
      </c>
      <c r="Y104" s="439">
        <f t="shared" si="53"/>
        <v>0</v>
      </c>
      <c r="Z104" s="439">
        <f t="shared" si="67"/>
        <v>0</v>
      </c>
      <c r="AA104" s="439" t="e">
        <f ca="1">(OFFSET($B$5,SUM($W$6:$W104),)-OFFSET($B$5,(SUM($W$6:$W104)-SUM($W104:$W104)+1),))</f>
        <v>#VALUE!</v>
      </c>
      <c r="AB104" s="439" t="e">
        <f ca="1">(OFFSET($B$5,SUM($W$6:$W104),)-OFFSET($B$5,SUM($W$6:$W104)-1,))+(OFFSET($B$5,SUM($W$6:$W104)-2,)-OFFSET($B$5,SUM($W$6:$W104)-3,))+(OFFSET($B$5,SUM($W$6:$W104)-4,)-OFFSET($B$5,SUM($W$6:$W104)-5,))+(OFFSET($B$5,SUM($W$6:$W104)-6,)-OFFSET($B$5,SUM($W$6:$W104)-7,))+(OFFSET($B$5,SUM($W$6:$W104)-8,)-OFFSET($B$5,SUM($W$6:$W104)-9,))+(OFFSET($B$5,SUM($W$6:$W104)-10,)-OFFSET($B$5,SUM($W$6:$W104)-11,))</f>
        <v>#VALUE!</v>
      </c>
      <c r="AC104" s="439" t="e">
        <f ca="1">(OFFSET($B$5,SUM($W$6:$W104),)-OFFSET($B$5,SUM($W$6:$W104)-1,))+(OFFSET($B$5,SUM($W$6:$W104)-2,)-OFFSET($B$5,SUM($W$6:$W104)-3,))+(OFFSET($B$5,SUM($W$6:$W104)-4,)-OFFSET($B$5,SUM($W$6:$W104)-5,))+(OFFSET($B$5,SUM($W$6:$W104)-6,)-OFFSET($B$5,SUM($W$6:$W104)-7,))+(OFFSET($B$5,SUM($W$6:$W104)-8,)-OFFSET($B$5,SUM($W$6:$W104)-9,))</f>
        <v>#VALUE!</v>
      </c>
      <c r="AD104" s="439" t="e">
        <f ca="1">(OFFSET($B$5,SUM($W$6:$W104),)-OFFSET($B$5,SUM($W$6:$W104)-1,))+(OFFSET($B$5,SUM($W$6:$W104)-2,)-OFFSET($B$5,SUM($W$6:$W104)-3,))+(OFFSET($B$5,SUM($W$6:$W104)-4,)-OFFSET($B$5,SUM($W$6:$W104)-5,))+(OFFSET($B$5,SUM($W$6:$W104)-6,)-OFFSET($B$5,SUM($W$6:$W104)-7,))</f>
        <v>#VALUE!</v>
      </c>
      <c r="AE104" s="439" t="e">
        <f ca="1">(OFFSET($B$5,SUM($W$6:$W104),)-OFFSET($B$5,SUM($W$6:$W104)-1,))+(OFFSET($B$5,SUM($W$6:$W104)-2,)-OFFSET($B$5,SUM($W$6:$W104)-3,))+(OFFSET($B$5,SUM($W$6:$W104)-4,)-OFFSET($B$5,SUM($W$6:$W104)-5,))</f>
        <v>#VALUE!</v>
      </c>
      <c r="AF104" s="439" t="e">
        <f ca="1">(OFFSET($B$5,SUM($W$6:$W104),)-OFFSET($B$5,SUM($W$6:$W104)-1,))+(OFFSET($B$5,SUM($W$6:$W104)-2,)-OFFSET($B$5,SUM($W$6:$W104)-3,))</f>
        <v>#VALUE!</v>
      </c>
      <c r="AG104" s="439" t="e">
        <f ca="1">(OFFSET($B$5,SUM($W$6:$W104),)-OFFSET($B$5,SUM($W$6:$W104)-1,))</f>
        <v>#VALUE!</v>
      </c>
      <c r="AH104" s="439" t="e">
        <f ca="1">(OFFSET($B$5,SUM($W$6:$W104)-1,)-OFFSET($B$5,SUM($W$6:$W104)-2,))+(OFFSET($B$5,SUM($W$6:$W104)-3,)-OFFSET($B$5,SUM($W$6:$W104)-4,))+(OFFSET($B$5,SUM($W$6:$W104)-5,)-OFFSET($B$5,SUM($W$6:$W104)-6,))+(OFFSET($B$5,SUM($W$6:$W104)-7,)-OFFSET($B$5,SUM($W$6:$W104)-8,))+(OFFSET($B$5,SUM($W$6:$W104)-9,)-OFFSET($B$5,SUM($W$6:$W104)-10,))</f>
        <v>#REF!</v>
      </c>
      <c r="AI104" s="439" t="e">
        <f ca="1">(OFFSET($B$5,SUM($W$6:$W104)-1,)-OFFSET($B$5,SUM($W$6:$W104)-2,))+(OFFSET($B$5,SUM($W$6:$W104)-3,)-OFFSET($B$5,SUM($W$6:$W104)-4,))+(OFFSET($B$5,SUM($W$6:$W104)-5,)-OFFSET($B$5,SUM($W$6:$W104)-6,))+(OFFSET($B$5,SUM($W$6:$W104)-7,)-OFFSET($B$5,SUM($W$6:$W104)-8,))</f>
        <v>#REF!</v>
      </c>
      <c r="AJ104" s="439" t="e">
        <f ca="1">(OFFSET($B$5,SUM($W$6:$W104)-1,)-OFFSET($B$5,SUM($W$6:$W104)-2,))+(OFFSET($B$5,SUM($W$6:$W104)-3,)-OFFSET($B$5,SUM($W$6:$W104)-4,))+(OFFSET($B$5,SUM($W$6:$W104)-5,)-OFFSET($B$5,SUM($W$6:$W104)-6,))</f>
        <v>#REF!</v>
      </c>
      <c r="AK104" s="439">
        <f ca="1">(OFFSET($B$5,SUM($W$6:$W104)-1,)-OFFSET($B$5,SUM($W$6:$W104)-2,))+(OFFSET($B$5,SUM($W$6:$W104)-3,)-OFFSET($B$5,SUM($W$6:$W104)-4,))</f>
        <v>0</v>
      </c>
      <c r="AL104" s="439">
        <f ca="1">(OFFSET($B$5,SUM($W$6:$W104)-1,)-OFFSET($B$5,SUM($W$6:$W104)-2,))</f>
        <v>0</v>
      </c>
      <c r="AM104" s="433">
        <v>4.0833333333333304</v>
      </c>
    </row>
    <row r="105" spans="6:39" x14ac:dyDescent="0.25">
      <c r="F105" s="374">
        <v>44476</v>
      </c>
      <c r="G105" s="370">
        <f t="shared" si="72"/>
        <v>44476</v>
      </c>
      <c r="H105" s="388">
        <f t="shared" si="73"/>
        <v>0</v>
      </c>
      <c r="I105" s="388">
        <f t="shared" ca="1" si="74"/>
        <v>-0.33333333333333331</v>
      </c>
      <c r="J105" s="386">
        <f t="shared" ref="J105:J107" ca="1" si="75">I105+J104</f>
        <v>-1.9999999999999998</v>
      </c>
      <c r="K105" s="163"/>
      <c r="L105" s="59"/>
      <c r="T105" s="438">
        <f t="shared" si="68"/>
        <v>0</v>
      </c>
      <c r="U105" s="439" t="b">
        <f t="shared" si="69"/>
        <v>0</v>
      </c>
      <c r="V105" s="440" t="b">
        <f t="shared" si="70"/>
        <v>0</v>
      </c>
      <c r="W105" s="437">
        <f t="shared" si="71"/>
        <v>0</v>
      </c>
      <c r="X105" s="439">
        <f t="shared" si="52"/>
        <v>0</v>
      </c>
      <c r="Y105" s="439">
        <f t="shared" si="53"/>
        <v>0</v>
      </c>
      <c r="Z105" s="439">
        <f t="shared" si="67"/>
        <v>0</v>
      </c>
      <c r="AA105" s="439" t="e">
        <f ca="1">(OFFSET($B$5,SUM($W$6:$W105),)-OFFSET($B$5,(SUM($W$6:$W105)-SUM($W105:$W105)+1),))</f>
        <v>#VALUE!</v>
      </c>
      <c r="AB105" s="439" t="e">
        <f ca="1">(OFFSET($B$5,SUM($W$6:$W105),)-OFFSET($B$5,SUM($W$6:$W105)-1,))+(OFFSET($B$5,SUM($W$6:$W105)-2,)-OFFSET($B$5,SUM($W$6:$W105)-3,))+(OFFSET($B$5,SUM($W$6:$W105)-4,)-OFFSET($B$5,SUM($W$6:$W105)-5,))+(OFFSET($B$5,SUM($W$6:$W105)-6,)-OFFSET($B$5,SUM($W$6:$W105)-7,))+(OFFSET($B$5,SUM($W$6:$W105)-8,)-OFFSET($B$5,SUM($W$6:$W105)-9,))+(OFFSET($B$5,SUM($W$6:$W105)-10,)-OFFSET($B$5,SUM($W$6:$W105)-11,))</f>
        <v>#VALUE!</v>
      </c>
      <c r="AC105" s="439" t="e">
        <f ca="1">(OFFSET($B$5,SUM($W$6:$W105),)-OFFSET($B$5,SUM($W$6:$W105)-1,))+(OFFSET($B$5,SUM($W$6:$W105)-2,)-OFFSET($B$5,SUM($W$6:$W105)-3,))+(OFFSET($B$5,SUM($W$6:$W105)-4,)-OFFSET($B$5,SUM($W$6:$W105)-5,))+(OFFSET($B$5,SUM($W$6:$W105)-6,)-OFFSET($B$5,SUM($W$6:$W105)-7,))+(OFFSET($B$5,SUM($W$6:$W105)-8,)-OFFSET($B$5,SUM($W$6:$W105)-9,))</f>
        <v>#VALUE!</v>
      </c>
      <c r="AD105" s="439" t="e">
        <f ca="1">(OFFSET($B$5,SUM($W$6:$W105),)-OFFSET($B$5,SUM($W$6:$W105)-1,))+(OFFSET($B$5,SUM($W$6:$W105)-2,)-OFFSET($B$5,SUM($W$6:$W105)-3,))+(OFFSET($B$5,SUM($W$6:$W105)-4,)-OFFSET($B$5,SUM($W$6:$W105)-5,))+(OFFSET($B$5,SUM($W$6:$W105)-6,)-OFFSET($B$5,SUM($W$6:$W105)-7,))</f>
        <v>#VALUE!</v>
      </c>
      <c r="AE105" s="439" t="e">
        <f ca="1">(OFFSET($B$5,SUM($W$6:$W105),)-OFFSET($B$5,SUM($W$6:$W105)-1,))+(OFFSET($B$5,SUM($W$6:$W105)-2,)-OFFSET($B$5,SUM($W$6:$W105)-3,))+(OFFSET($B$5,SUM($W$6:$W105)-4,)-OFFSET($B$5,SUM($W$6:$W105)-5,))</f>
        <v>#VALUE!</v>
      </c>
      <c r="AF105" s="439" t="e">
        <f ca="1">(OFFSET($B$5,SUM($W$6:$W105),)-OFFSET($B$5,SUM($W$6:$W105)-1,))+(OFFSET($B$5,SUM($W$6:$W105)-2,)-OFFSET($B$5,SUM($W$6:$W105)-3,))</f>
        <v>#VALUE!</v>
      </c>
      <c r="AG105" s="439" t="e">
        <f ca="1">(OFFSET($B$5,SUM($W$6:$W105),)-OFFSET($B$5,SUM($W$6:$W105)-1,))</f>
        <v>#VALUE!</v>
      </c>
      <c r="AH105" s="439" t="e">
        <f ca="1">(OFFSET($B$5,SUM($W$6:$W105)-1,)-OFFSET($B$5,SUM($W$6:$W105)-2,))+(OFFSET($B$5,SUM($W$6:$W105)-3,)-OFFSET($B$5,SUM($W$6:$W105)-4,))+(OFFSET($B$5,SUM($W$6:$W105)-5,)-OFFSET($B$5,SUM($W$6:$W105)-6,))+(OFFSET($B$5,SUM($W$6:$W105)-7,)-OFFSET($B$5,SUM($W$6:$W105)-8,))+(OFFSET($B$5,SUM($W$6:$W105)-9,)-OFFSET($B$5,SUM($W$6:$W105)-10,))</f>
        <v>#REF!</v>
      </c>
      <c r="AI105" s="439" t="e">
        <f ca="1">(OFFSET($B$5,SUM($W$6:$W105)-1,)-OFFSET($B$5,SUM($W$6:$W105)-2,))+(OFFSET($B$5,SUM($W$6:$W105)-3,)-OFFSET($B$5,SUM($W$6:$W105)-4,))+(OFFSET($B$5,SUM($W$6:$W105)-5,)-OFFSET($B$5,SUM($W$6:$W105)-6,))+(OFFSET($B$5,SUM($W$6:$W105)-7,)-OFFSET($B$5,SUM($W$6:$W105)-8,))</f>
        <v>#REF!</v>
      </c>
      <c r="AJ105" s="439" t="e">
        <f ca="1">(OFFSET($B$5,SUM($W$6:$W105)-1,)-OFFSET($B$5,SUM($W$6:$W105)-2,))+(OFFSET($B$5,SUM($W$6:$W105)-3,)-OFFSET($B$5,SUM($W$6:$W105)-4,))+(OFFSET($B$5,SUM($W$6:$W105)-5,)-OFFSET($B$5,SUM($W$6:$W105)-6,))</f>
        <v>#REF!</v>
      </c>
      <c r="AK105" s="439">
        <f ca="1">(OFFSET($B$5,SUM($W$6:$W105)-1,)-OFFSET($B$5,SUM($W$6:$W105)-2,))+(OFFSET($B$5,SUM($W$6:$W105)-3,)-OFFSET($B$5,SUM($W$6:$W105)-4,))</f>
        <v>0</v>
      </c>
      <c r="AL105" s="439">
        <f ca="1">(OFFSET($B$5,SUM($W$6:$W105)-1,)-OFFSET($B$5,SUM($W$6:$W105)-2,))</f>
        <v>0</v>
      </c>
      <c r="AM105" s="433">
        <v>4.125</v>
      </c>
    </row>
    <row r="106" spans="6:39" x14ac:dyDescent="0.25">
      <c r="F106" s="374">
        <v>44477</v>
      </c>
      <c r="G106" s="370">
        <f t="shared" si="72"/>
        <v>44477</v>
      </c>
      <c r="H106" s="388">
        <f t="shared" si="73"/>
        <v>0</v>
      </c>
      <c r="I106" s="388">
        <f t="shared" ca="1" si="74"/>
        <v>-0.33333333333333331</v>
      </c>
      <c r="J106" s="386">
        <f t="shared" ca="1" si="75"/>
        <v>-2.333333333333333</v>
      </c>
      <c r="K106" s="163"/>
      <c r="L106" s="59"/>
      <c r="T106" s="438">
        <f t="shared" si="68"/>
        <v>0</v>
      </c>
      <c r="U106" s="439" t="b">
        <f t="shared" si="69"/>
        <v>0</v>
      </c>
      <c r="V106" s="440" t="b">
        <f t="shared" si="70"/>
        <v>0</v>
      </c>
      <c r="W106" s="437">
        <f t="shared" si="71"/>
        <v>0</v>
      </c>
      <c r="X106" s="439">
        <f t="shared" si="52"/>
        <v>0</v>
      </c>
      <c r="Y106" s="439">
        <f t="shared" si="53"/>
        <v>0</v>
      </c>
      <c r="Z106" s="439">
        <f t="shared" si="67"/>
        <v>0</v>
      </c>
      <c r="AA106" s="439" t="e">
        <f ca="1">(OFFSET($B$5,SUM($W$6:$W106),)-OFFSET($B$5,(SUM($W$6:$W106)-SUM($W106:$W106)+1),))</f>
        <v>#VALUE!</v>
      </c>
      <c r="AB106" s="439" t="e">
        <f ca="1">(OFFSET($B$5,SUM($W$6:$W106),)-OFFSET($B$5,SUM($W$6:$W106)-1,))+(OFFSET($B$5,SUM($W$6:$W106)-2,)-OFFSET($B$5,SUM($W$6:$W106)-3,))+(OFFSET($B$5,SUM($W$6:$W106)-4,)-OFFSET($B$5,SUM($W$6:$W106)-5,))+(OFFSET($B$5,SUM($W$6:$W106)-6,)-OFFSET($B$5,SUM($W$6:$W106)-7,))+(OFFSET($B$5,SUM($W$6:$W106)-8,)-OFFSET($B$5,SUM($W$6:$W106)-9,))+(OFFSET($B$5,SUM($W$6:$W106)-10,)-OFFSET($B$5,SUM($W$6:$W106)-11,))</f>
        <v>#VALUE!</v>
      </c>
      <c r="AC106" s="439" t="e">
        <f ca="1">(OFFSET($B$5,SUM($W$6:$W106),)-OFFSET($B$5,SUM($W$6:$W106)-1,))+(OFFSET($B$5,SUM($W$6:$W106)-2,)-OFFSET($B$5,SUM($W$6:$W106)-3,))+(OFFSET($B$5,SUM($W$6:$W106)-4,)-OFFSET($B$5,SUM($W$6:$W106)-5,))+(OFFSET($B$5,SUM($W$6:$W106)-6,)-OFFSET($B$5,SUM($W$6:$W106)-7,))+(OFFSET($B$5,SUM($W$6:$W106)-8,)-OFFSET($B$5,SUM($W$6:$W106)-9,))</f>
        <v>#VALUE!</v>
      </c>
      <c r="AD106" s="439" t="e">
        <f ca="1">(OFFSET($B$5,SUM($W$6:$W106),)-OFFSET($B$5,SUM($W$6:$W106)-1,))+(OFFSET($B$5,SUM($W$6:$W106)-2,)-OFFSET($B$5,SUM($W$6:$W106)-3,))+(OFFSET($B$5,SUM($W$6:$W106)-4,)-OFFSET($B$5,SUM($W$6:$W106)-5,))+(OFFSET($B$5,SUM($W$6:$W106)-6,)-OFFSET($B$5,SUM($W$6:$W106)-7,))</f>
        <v>#VALUE!</v>
      </c>
      <c r="AE106" s="439" t="e">
        <f ca="1">(OFFSET($B$5,SUM($W$6:$W106),)-OFFSET($B$5,SUM($W$6:$W106)-1,))+(OFFSET($B$5,SUM($W$6:$W106)-2,)-OFFSET($B$5,SUM($W$6:$W106)-3,))+(OFFSET($B$5,SUM($W$6:$W106)-4,)-OFFSET($B$5,SUM($W$6:$W106)-5,))</f>
        <v>#VALUE!</v>
      </c>
      <c r="AF106" s="439" t="e">
        <f ca="1">(OFFSET($B$5,SUM($W$6:$W106),)-OFFSET($B$5,SUM($W$6:$W106)-1,))+(OFFSET($B$5,SUM($W$6:$W106)-2,)-OFFSET($B$5,SUM($W$6:$W106)-3,))</f>
        <v>#VALUE!</v>
      </c>
      <c r="AG106" s="439" t="e">
        <f ca="1">(OFFSET($B$5,SUM($W$6:$W106),)-OFFSET($B$5,SUM($W$6:$W106)-1,))</f>
        <v>#VALUE!</v>
      </c>
      <c r="AH106" s="439" t="e">
        <f ca="1">(OFFSET($B$5,SUM($W$6:$W106)-1,)-OFFSET($B$5,SUM($W$6:$W106)-2,))+(OFFSET($B$5,SUM($W$6:$W106)-3,)-OFFSET($B$5,SUM($W$6:$W106)-4,))+(OFFSET($B$5,SUM($W$6:$W106)-5,)-OFFSET($B$5,SUM($W$6:$W106)-6,))+(OFFSET($B$5,SUM($W$6:$W106)-7,)-OFFSET($B$5,SUM($W$6:$W106)-8,))+(OFFSET($B$5,SUM($W$6:$W106)-9,)-OFFSET($B$5,SUM($W$6:$W106)-10,))</f>
        <v>#REF!</v>
      </c>
      <c r="AI106" s="439" t="e">
        <f ca="1">(OFFSET($B$5,SUM($W$6:$W106)-1,)-OFFSET($B$5,SUM($W$6:$W106)-2,))+(OFFSET($B$5,SUM($W$6:$W106)-3,)-OFFSET($B$5,SUM($W$6:$W106)-4,))+(OFFSET($B$5,SUM($W$6:$W106)-5,)-OFFSET($B$5,SUM($W$6:$W106)-6,))+(OFFSET($B$5,SUM($W$6:$W106)-7,)-OFFSET($B$5,SUM($W$6:$W106)-8,))</f>
        <v>#REF!</v>
      </c>
      <c r="AJ106" s="439" t="e">
        <f ca="1">(OFFSET($B$5,SUM($W$6:$W106)-1,)-OFFSET($B$5,SUM($W$6:$W106)-2,))+(OFFSET($B$5,SUM($W$6:$W106)-3,)-OFFSET($B$5,SUM($W$6:$W106)-4,))+(OFFSET($B$5,SUM($W$6:$W106)-5,)-OFFSET($B$5,SUM($W$6:$W106)-6,))</f>
        <v>#REF!</v>
      </c>
      <c r="AK106" s="439">
        <f ca="1">(OFFSET($B$5,SUM($W$6:$W106)-1,)-OFFSET($B$5,SUM($W$6:$W106)-2,))+(OFFSET($B$5,SUM($W$6:$W106)-3,)-OFFSET($B$5,SUM($W$6:$W106)-4,))</f>
        <v>0</v>
      </c>
      <c r="AL106" s="439">
        <f ca="1">(OFFSET($B$5,SUM($W$6:$W106)-1,)-OFFSET($B$5,SUM($W$6:$W106)-2,))</f>
        <v>0</v>
      </c>
      <c r="AM106" s="433">
        <v>4.1666666666666696</v>
      </c>
    </row>
    <row r="107" spans="6:39" x14ac:dyDescent="0.25">
      <c r="F107" s="374">
        <v>44478</v>
      </c>
      <c r="G107" s="370">
        <f t="shared" si="72"/>
        <v>44478</v>
      </c>
      <c r="H107" s="388">
        <f t="shared" si="73"/>
        <v>0</v>
      </c>
      <c r="I107" s="388">
        <f t="shared" ca="1" si="74"/>
        <v>-0.33333333333333331</v>
      </c>
      <c r="J107" s="386">
        <f t="shared" ca="1" si="75"/>
        <v>-2.6666666666666665</v>
      </c>
      <c r="K107" s="163"/>
      <c r="L107" s="59"/>
      <c r="T107" s="438">
        <f t="shared" si="68"/>
        <v>0</v>
      </c>
      <c r="U107" s="439" t="b">
        <f t="shared" si="69"/>
        <v>0</v>
      </c>
      <c r="V107" s="440" t="b">
        <f t="shared" si="70"/>
        <v>0</v>
      </c>
      <c r="W107" s="437">
        <f t="shared" si="71"/>
        <v>0</v>
      </c>
      <c r="X107" s="439">
        <f t="shared" si="52"/>
        <v>0</v>
      </c>
      <c r="Y107" s="439">
        <f t="shared" si="53"/>
        <v>0</v>
      </c>
      <c r="Z107" s="439">
        <f t="shared" si="67"/>
        <v>0</v>
      </c>
      <c r="AA107" s="439" t="e">
        <f ca="1">(OFFSET($B$5,SUM($W$6:$W107),)-OFFSET($B$5,(SUM($W$6:$W107)-SUM($W107:$W107)+1),))</f>
        <v>#VALUE!</v>
      </c>
      <c r="AB107" s="439" t="e">
        <f ca="1">(OFFSET($B$5,SUM($W$6:$W107),)-OFFSET($B$5,SUM($W$6:$W107)-1,))+(OFFSET($B$5,SUM($W$6:$W107)-2,)-OFFSET($B$5,SUM($W$6:$W107)-3,))+(OFFSET($B$5,SUM($W$6:$W107)-4,)-OFFSET($B$5,SUM($W$6:$W107)-5,))+(OFFSET($B$5,SUM($W$6:$W107)-6,)-OFFSET($B$5,SUM($W$6:$W107)-7,))+(OFFSET($B$5,SUM($W$6:$W107)-8,)-OFFSET($B$5,SUM($W$6:$W107)-9,))+(OFFSET($B$5,SUM($W$6:$W107)-10,)-OFFSET($B$5,SUM($W$6:$W107)-11,))</f>
        <v>#VALUE!</v>
      </c>
      <c r="AC107" s="439" t="e">
        <f ca="1">(OFFSET($B$5,SUM($W$6:$W107),)-OFFSET($B$5,SUM($W$6:$W107)-1,))+(OFFSET($B$5,SUM($W$6:$W107)-2,)-OFFSET($B$5,SUM($W$6:$W107)-3,))+(OFFSET($B$5,SUM($W$6:$W107)-4,)-OFFSET($B$5,SUM($W$6:$W107)-5,))+(OFFSET($B$5,SUM($W$6:$W107)-6,)-OFFSET($B$5,SUM($W$6:$W107)-7,))+(OFFSET($B$5,SUM($W$6:$W107)-8,)-OFFSET($B$5,SUM($W$6:$W107)-9,))</f>
        <v>#VALUE!</v>
      </c>
      <c r="AD107" s="439" t="e">
        <f ca="1">(OFFSET($B$5,SUM($W$6:$W107),)-OFFSET($B$5,SUM($W$6:$W107)-1,))+(OFFSET($B$5,SUM($W$6:$W107)-2,)-OFFSET($B$5,SUM($W$6:$W107)-3,))+(OFFSET($B$5,SUM($W$6:$W107)-4,)-OFFSET($B$5,SUM($W$6:$W107)-5,))+(OFFSET($B$5,SUM($W$6:$W107)-6,)-OFFSET($B$5,SUM($W$6:$W107)-7,))</f>
        <v>#VALUE!</v>
      </c>
      <c r="AE107" s="439" t="e">
        <f ca="1">(OFFSET($B$5,SUM($W$6:$W107),)-OFFSET($B$5,SUM($W$6:$W107)-1,))+(OFFSET($B$5,SUM($W$6:$W107)-2,)-OFFSET($B$5,SUM($W$6:$W107)-3,))+(OFFSET($B$5,SUM($W$6:$W107)-4,)-OFFSET($B$5,SUM($W$6:$W107)-5,))</f>
        <v>#VALUE!</v>
      </c>
      <c r="AF107" s="439" t="e">
        <f ca="1">(OFFSET($B$5,SUM($W$6:$W107),)-OFFSET($B$5,SUM($W$6:$W107)-1,))+(OFFSET($B$5,SUM($W$6:$W107)-2,)-OFFSET($B$5,SUM($W$6:$W107)-3,))</f>
        <v>#VALUE!</v>
      </c>
      <c r="AG107" s="439" t="e">
        <f ca="1">(OFFSET($B$5,SUM($W$6:$W107),)-OFFSET($B$5,SUM($W$6:$W107)-1,))</f>
        <v>#VALUE!</v>
      </c>
      <c r="AH107" s="439" t="e">
        <f ca="1">(OFFSET($B$5,SUM($W$6:$W107)-1,)-OFFSET($B$5,SUM($W$6:$W107)-2,))+(OFFSET($B$5,SUM($W$6:$W107)-3,)-OFFSET($B$5,SUM($W$6:$W107)-4,))+(OFFSET($B$5,SUM($W$6:$W107)-5,)-OFFSET($B$5,SUM($W$6:$W107)-6,))+(OFFSET($B$5,SUM($W$6:$W107)-7,)-OFFSET($B$5,SUM($W$6:$W107)-8,))+(OFFSET($B$5,SUM($W$6:$W107)-9,)-OFFSET($B$5,SUM($W$6:$W107)-10,))</f>
        <v>#REF!</v>
      </c>
      <c r="AI107" s="439" t="e">
        <f ca="1">(OFFSET($B$5,SUM($W$6:$W107)-1,)-OFFSET($B$5,SUM($W$6:$W107)-2,))+(OFFSET($B$5,SUM($W$6:$W107)-3,)-OFFSET($B$5,SUM($W$6:$W107)-4,))+(OFFSET($B$5,SUM($W$6:$W107)-5,)-OFFSET($B$5,SUM($W$6:$W107)-6,))+(OFFSET($B$5,SUM($W$6:$W107)-7,)-OFFSET($B$5,SUM($W$6:$W107)-8,))</f>
        <v>#REF!</v>
      </c>
      <c r="AJ107" s="439" t="e">
        <f ca="1">(OFFSET($B$5,SUM($W$6:$W107)-1,)-OFFSET($B$5,SUM($W$6:$W107)-2,))+(OFFSET($B$5,SUM($W$6:$W107)-3,)-OFFSET($B$5,SUM($W$6:$W107)-4,))+(OFFSET($B$5,SUM($W$6:$W107)-5,)-OFFSET($B$5,SUM($W$6:$W107)-6,))</f>
        <v>#REF!</v>
      </c>
      <c r="AK107" s="439">
        <f ca="1">(OFFSET($B$5,SUM($W$6:$W107)-1,)-OFFSET($B$5,SUM($W$6:$W107)-2,))+(OFFSET($B$5,SUM($W$6:$W107)-3,)-OFFSET($B$5,SUM($W$6:$W107)-4,))</f>
        <v>0</v>
      </c>
      <c r="AL107" s="439">
        <f ca="1">(OFFSET($B$5,SUM($W$6:$W107)-1,)-OFFSET($B$5,SUM($W$6:$W107)-2,))</f>
        <v>0</v>
      </c>
      <c r="AM107" s="433">
        <v>4.2083333333333304</v>
      </c>
    </row>
    <row r="108" spans="6:39" x14ac:dyDescent="0.25">
      <c r="F108" s="374">
        <v>44479</v>
      </c>
      <c r="G108" s="404">
        <f t="shared" si="72"/>
        <v>44479</v>
      </c>
      <c r="H108" s="389"/>
      <c r="I108" s="389"/>
      <c r="J108" s="389"/>
      <c r="K108" s="163"/>
      <c r="L108" s="59"/>
      <c r="T108" s="438">
        <f t="shared" si="68"/>
        <v>0</v>
      </c>
      <c r="U108" s="439" t="b">
        <f t="shared" si="69"/>
        <v>0</v>
      </c>
      <c r="V108" s="440" t="b">
        <f t="shared" si="70"/>
        <v>0</v>
      </c>
      <c r="W108" s="437">
        <f t="shared" si="71"/>
        <v>0</v>
      </c>
      <c r="X108" s="439">
        <f t="shared" si="52"/>
        <v>0</v>
      </c>
      <c r="Y108" s="439">
        <f t="shared" si="53"/>
        <v>0</v>
      </c>
      <c r="Z108" s="439">
        <f t="shared" si="67"/>
        <v>0</v>
      </c>
      <c r="AA108" s="439" t="e">
        <f ca="1">(OFFSET($B$5,SUM($W$6:$W108),)-OFFSET($B$5,(SUM($W$6:$W108)-SUM($W108:$W108)+1),))</f>
        <v>#VALUE!</v>
      </c>
      <c r="AB108" s="439" t="e">
        <f ca="1">(OFFSET($B$5,SUM($W$6:$W108),)-OFFSET($B$5,SUM($W$6:$W108)-1,))+(OFFSET($B$5,SUM($W$6:$W108)-2,)-OFFSET($B$5,SUM($W$6:$W108)-3,))+(OFFSET($B$5,SUM($W$6:$W108)-4,)-OFFSET($B$5,SUM($W$6:$W108)-5,))+(OFFSET($B$5,SUM($W$6:$W108)-6,)-OFFSET($B$5,SUM($W$6:$W108)-7,))+(OFFSET($B$5,SUM($W$6:$W108)-8,)-OFFSET($B$5,SUM($W$6:$W108)-9,))+(OFFSET($B$5,SUM($W$6:$W108)-10,)-OFFSET($B$5,SUM($W$6:$W108)-11,))</f>
        <v>#VALUE!</v>
      </c>
      <c r="AC108" s="439" t="e">
        <f ca="1">(OFFSET($B$5,SUM($W$6:$W108),)-OFFSET($B$5,SUM($W$6:$W108)-1,))+(OFFSET($B$5,SUM($W$6:$W108)-2,)-OFFSET($B$5,SUM($W$6:$W108)-3,))+(OFFSET($B$5,SUM($W$6:$W108)-4,)-OFFSET($B$5,SUM($W$6:$W108)-5,))+(OFFSET($B$5,SUM($W$6:$W108)-6,)-OFFSET($B$5,SUM($W$6:$W108)-7,))+(OFFSET($B$5,SUM($W$6:$W108)-8,)-OFFSET($B$5,SUM($W$6:$W108)-9,))</f>
        <v>#VALUE!</v>
      </c>
      <c r="AD108" s="439" t="e">
        <f ca="1">(OFFSET($B$5,SUM($W$6:$W108),)-OFFSET($B$5,SUM($W$6:$W108)-1,))+(OFFSET($B$5,SUM($W$6:$W108)-2,)-OFFSET($B$5,SUM($W$6:$W108)-3,))+(OFFSET($B$5,SUM($W$6:$W108)-4,)-OFFSET($B$5,SUM($W$6:$W108)-5,))+(OFFSET($B$5,SUM($W$6:$W108)-6,)-OFFSET($B$5,SUM($W$6:$W108)-7,))</f>
        <v>#VALUE!</v>
      </c>
      <c r="AE108" s="439" t="e">
        <f ca="1">(OFFSET($B$5,SUM($W$6:$W108),)-OFFSET($B$5,SUM($W$6:$W108)-1,))+(OFFSET($B$5,SUM($W$6:$W108)-2,)-OFFSET($B$5,SUM($W$6:$W108)-3,))+(OFFSET($B$5,SUM($W$6:$W108)-4,)-OFFSET($B$5,SUM($W$6:$W108)-5,))</f>
        <v>#VALUE!</v>
      </c>
      <c r="AF108" s="439" t="e">
        <f ca="1">(OFFSET($B$5,SUM($W$6:$W108),)-OFFSET($B$5,SUM($W$6:$W108)-1,))+(OFFSET($B$5,SUM($W$6:$W108)-2,)-OFFSET($B$5,SUM($W$6:$W108)-3,))</f>
        <v>#VALUE!</v>
      </c>
      <c r="AG108" s="439" t="e">
        <f ca="1">(OFFSET($B$5,SUM($W$6:$W108),)-OFFSET($B$5,SUM($W$6:$W108)-1,))</f>
        <v>#VALUE!</v>
      </c>
      <c r="AH108" s="439" t="e">
        <f ca="1">(OFFSET($B$5,SUM($W$6:$W108)-1,)-OFFSET($B$5,SUM($W$6:$W108)-2,))+(OFFSET($B$5,SUM($W$6:$W108)-3,)-OFFSET($B$5,SUM($W$6:$W108)-4,))+(OFFSET($B$5,SUM($W$6:$W108)-5,)-OFFSET($B$5,SUM($W$6:$W108)-6,))+(OFFSET($B$5,SUM($W$6:$W108)-7,)-OFFSET($B$5,SUM($W$6:$W108)-8,))+(OFFSET($B$5,SUM($W$6:$W108)-9,)-OFFSET($B$5,SUM($W$6:$W108)-10,))</f>
        <v>#REF!</v>
      </c>
      <c r="AI108" s="439" t="e">
        <f ca="1">(OFFSET($B$5,SUM($W$6:$W108)-1,)-OFFSET($B$5,SUM($W$6:$W108)-2,))+(OFFSET($B$5,SUM($W$6:$W108)-3,)-OFFSET($B$5,SUM($W$6:$W108)-4,))+(OFFSET($B$5,SUM($W$6:$W108)-5,)-OFFSET($B$5,SUM($W$6:$W108)-6,))+(OFFSET($B$5,SUM($W$6:$W108)-7,)-OFFSET($B$5,SUM($W$6:$W108)-8,))</f>
        <v>#REF!</v>
      </c>
      <c r="AJ108" s="439" t="e">
        <f ca="1">(OFFSET($B$5,SUM($W$6:$W108)-1,)-OFFSET($B$5,SUM($W$6:$W108)-2,))+(OFFSET($B$5,SUM($W$6:$W108)-3,)-OFFSET($B$5,SUM($W$6:$W108)-4,))+(OFFSET($B$5,SUM($W$6:$W108)-5,)-OFFSET($B$5,SUM($W$6:$W108)-6,))</f>
        <v>#REF!</v>
      </c>
      <c r="AK108" s="439">
        <f ca="1">(OFFSET($B$5,SUM($W$6:$W108)-1,)-OFFSET($B$5,SUM($W$6:$W108)-2,))+(OFFSET($B$5,SUM($W$6:$W108)-3,)-OFFSET($B$5,SUM($W$6:$W108)-4,))</f>
        <v>0</v>
      </c>
      <c r="AL108" s="439">
        <f ca="1">(OFFSET($B$5,SUM($W$6:$W108)-1,)-OFFSET($B$5,SUM($W$6:$W108)-2,))</f>
        <v>0</v>
      </c>
      <c r="AM108" s="433">
        <v>4.25</v>
      </c>
    </row>
    <row r="109" spans="6:39" x14ac:dyDescent="0.25">
      <c r="F109" s="374">
        <v>44480</v>
      </c>
      <c r="G109" s="404">
        <f t="shared" si="72"/>
        <v>44480</v>
      </c>
      <c r="H109" s="389"/>
      <c r="I109" s="389"/>
      <c r="J109" s="389"/>
      <c r="K109" s="163"/>
      <c r="L109" s="59"/>
      <c r="T109" s="438">
        <f t="shared" si="68"/>
        <v>0</v>
      </c>
      <c r="U109" s="439" t="b">
        <f t="shared" si="69"/>
        <v>0</v>
      </c>
      <c r="V109" s="440" t="b">
        <f t="shared" si="70"/>
        <v>0</v>
      </c>
      <c r="W109" s="437">
        <f t="shared" si="71"/>
        <v>0</v>
      </c>
      <c r="X109" s="439">
        <f t="shared" si="52"/>
        <v>0</v>
      </c>
      <c r="Y109" s="439">
        <f t="shared" si="53"/>
        <v>0</v>
      </c>
      <c r="Z109" s="439">
        <f t="shared" si="67"/>
        <v>0</v>
      </c>
      <c r="AA109" s="439" t="e">
        <f ca="1">(OFFSET($B$5,SUM($W$6:$W109),)-OFFSET($B$5,(SUM($W$6:$W109)-SUM($W109:$W109)+1),))</f>
        <v>#VALUE!</v>
      </c>
      <c r="AB109" s="439" t="e">
        <f ca="1">(OFFSET($B$5,SUM($W$6:$W109),)-OFFSET($B$5,SUM($W$6:$W109)-1,))+(OFFSET($B$5,SUM($W$6:$W109)-2,)-OFFSET($B$5,SUM($W$6:$W109)-3,))+(OFFSET($B$5,SUM($W$6:$W109)-4,)-OFFSET($B$5,SUM($W$6:$W109)-5,))+(OFFSET($B$5,SUM($W$6:$W109)-6,)-OFFSET($B$5,SUM($W$6:$W109)-7,))+(OFFSET($B$5,SUM($W$6:$W109)-8,)-OFFSET($B$5,SUM($W$6:$W109)-9,))+(OFFSET($B$5,SUM($W$6:$W109)-10,)-OFFSET($B$5,SUM($W$6:$W109)-11,))</f>
        <v>#VALUE!</v>
      </c>
      <c r="AC109" s="439" t="e">
        <f ca="1">(OFFSET($B$5,SUM($W$6:$W109),)-OFFSET($B$5,SUM($W$6:$W109)-1,))+(OFFSET($B$5,SUM($W$6:$W109)-2,)-OFFSET($B$5,SUM($W$6:$W109)-3,))+(OFFSET($B$5,SUM($W$6:$W109)-4,)-OFFSET($B$5,SUM($W$6:$W109)-5,))+(OFFSET($B$5,SUM($W$6:$W109)-6,)-OFFSET($B$5,SUM($W$6:$W109)-7,))+(OFFSET($B$5,SUM($W$6:$W109)-8,)-OFFSET($B$5,SUM($W$6:$W109)-9,))</f>
        <v>#VALUE!</v>
      </c>
      <c r="AD109" s="439" t="e">
        <f ca="1">(OFFSET($B$5,SUM($W$6:$W109),)-OFFSET($B$5,SUM($W$6:$W109)-1,))+(OFFSET($B$5,SUM($W$6:$W109)-2,)-OFFSET($B$5,SUM($W$6:$W109)-3,))+(OFFSET($B$5,SUM($W$6:$W109)-4,)-OFFSET($B$5,SUM($W$6:$W109)-5,))+(OFFSET($B$5,SUM($W$6:$W109)-6,)-OFFSET($B$5,SUM($W$6:$W109)-7,))</f>
        <v>#VALUE!</v>
      </c>
      <c r="AE109" s="439" t="e">
        <f ca="1">(OFFSET($B$5,SUM($W$6:$W109),)-OFFSET($B$5,SUM($W$6:$W109)-1,))+(OFFSET($B$5,SUM($W$6:$W109)-2,)-OFFSET($B$5,SUM($W$6:$W109)-3,))+(OFFSET($B$5,SUM($W$6:$W109)-4,)-OFFSET($B$5,SUM($W$6:$W109)-5,))</f>
        <v>#VALUE!</v>
      </c>
      <c r="AF109" s="439" t="e">
        <f ca="1">(OFFSET($B$5,SUM($W$6:$W109),)-OFFSET($B$5,SUM($W$6:$W109)-1,))+(OFFSET($B$5,SUM($W$6:$W109)-2,)-OFFSET($B$5,SUM($W$6:$W109)-3,))</f>
        <v>#VALUE!</v>
      </c>
      <c r="AG109" s="439" t="e">
        <f ca="1">(OFFSET($B$5,SUM($W$6:$W109),)-OFFSET($B$5,SUM($W$6:$W109)-1,))</f>
        <v>#VALUE!</v>
      </c>
      <c r="AH109" s="439" t="e">
        <f ca="1">(OFFSET($B$5,SUM($W$6:$W109)-1,)-OFFSET($B$5,SUM($W$6:$W109)-2,))+(OFFSET($B$5,SUM($W$6:$W109)-3,)-OFFSET($B$5,SUM($W$6:$W109)-4,))+(OFFSET($B$5,SUM($W$6:$W109)-5,)-OFFSET($B$5,SUM($W$6:$W109)-6,))+(OFFSET($B$5,SUM($W$6:$W109)-7,)-OFFSET($B$5,SUM($W$6:$W109)-8,))+(OFFSET($B$5,SUM($W$6:$W109)-9,)-OFFSET($B$5,SUM($W$6:$W109)-10,))</f>
        <v>#REF!</v>
      </c>
      <c r="AI109" s="439" t="e">
        <f ca="1">(OFFSET($B$5,SUM($W$6:$W109)-1,)-OFFSET($B$5,SUM($W$6:$W109)-2,))+(OFFSET($B$5,SUM($W$6:$W109)-3,)-OFFSET($B$5,SUM($W$6:$W109)-4,))+(OFFSET($B$5,SUM($W$6:$W109)-5,)-OFFSET($B$5,SUM($W$6:$W109)-6,))+(OFFSET($B$5,SUM($W$6:$W109)-7,)-OFFSET($B$5,SUM($W$6:$W109)-8,))</f>
        <v>#REF!</v>
      </c>
      <c r="AJ109" s="439" t="e">
        <f ca="1">(OFFSET($B$5,SUM($W$6:$W109)-1,)-OFFSET($B$5,SUM($W$6:$W109)-2,))+(OFFSET($B$5,SUM($W$6:$W109)-3,)-OFFSET($B$5,SUM($W$6:$W109)-4,))+(OFFSET($B$5,SUM($W$6:$W109)-5,)-OFFSET($B$5,SUM($W$6:$W109)-6,))</f>
        <v>#REF!</v>
      </c>
      <c r="AK109" s="439">
        <f ca="1">(OFFSET($B$5,SUM($W$6:$W109)-1,)-OFFSET($B$5,SUM($W$6:$W109)-2,))+(OFFSET($B$5,SUM($W$6:$W109)-3,)-OFFSET($B$5,SUM($W$6:$W109)-4,))</f>
        <v>0</v>
      </c>
      <c r="AL109" s="439">
        <f ca="1">(OFFSET($B$5,SUM($W$6:$W109)-1,)-OFFSET($B$5,SUM($W$6:$W109)-2,))</f>
        <v>0</v>
      </c>
      <c r="AM109" s="433">
        <v>4.2916666666666696</v>
      </c>
    </row>
    <row r="110" spans="6:39" x14ac:dyDescent="0.25">
      <c r="F110" s="374">
        <v>44481</v>
      </c>
      <c r="G110" s="370">
        <f t="shared" si="72"/>
        <v>44481</v>
      </c>
      <c r="H110" s="388">
        <f t="shared" ref="H110:H114" si="76">X110</f>
        <v>0</v>
      </c>
      <c r="I110" s="388">
        <f t="shared" ref="I110:I114" ca="1" si="77">IFERROR(H110+T110+OFFSET($L$99,MATCH(F110,$K$100:$K$128,0),0)-$W$2,H110-$W$2)</f>
        <v>-0.33333333333333331</v>
      </c>
      <c r="J110" s="386">
        <f ca="1">I110+J107</f>
        <v>-3</v>
      </c>
      <c r="K110" s="164"/>
      <c r="L110" s="60"/>
      <c r="T110" s="438">
        <f t="shared" si="68"/>
        <v>0</v>
      </c>
      <c r="U110" s="439" t="b">
        <f t="shared" si="69"/>
        <v>0</v>
      </c>
      <c r="V110" s="440" t="b">
        <f t="shared" si="70"/>
        <v>0</v>
      </c>
      <c r="W110" s="437">
        <f t="shared" si="71"/>
        <v>0</v>
      </c>
      <c r="X110" s="439">
        <f t="shared" si="52"/>
        <v>0</v>
      </c>
      <c r="Y110" s="439">
        <f t="shared" si="53"/>
        <v>0</v>
      </c>
      <c r="Z110" s="439">
        <f t="shared" si="67"/>
        <v>0</v>
      </c>
      <c r="AA110" s="439" t="e">
        <f ca="1">(OFFSET($B$5,SUM($W$6:$W110),)-OFFSET($B$5,(SUM($W$6:$W110)-SUM($W110:$W110)+1),))</f>
        <v>#VALUE!</v>
      </c>
      <c r="AB110" s="439" t="e">
        <f ca="1">(OFFSET($B$5,SUM($W$6:$W110),)-OFFSET($B$5,SUM($W$6:$W110)-1,))+(OFFSET($B$5,SUM($W$6:$W110)-2,)-OFFSET($B$5,SUM($W$6:$W110)-3,))+(OFFSET($B$5,SUM($W$6:$W110)-4,)-OFFSET($B$5,SUM($W$6:$W110)-5,))+(OFFSET($B$5,SUM($W$6:$W110)-6,)-OFFSET($B$5,SUM($W$6:$W110)-7,))+(OFFSET($B$5,SUM($W$6:$W110)-8,)-OFFSET($B$5,SUM($W$6:$W110)-9,))+(OFFSET($B$5,SUM($W$6:$W110)-10,)-OFFSET($B$5,SUM($W$6:$W110)-11,))</f>
        <v>#VALUE!</v>
      </c>
      <c r="AC110" s="439" t="e">
        <f ca="1">(OFFSET($B$5,SUM($W$6:$W110),)-OFFSET($B$5,SUM($W$6:$W110)-1,))+(OFFSET($B$5,SUM($W$6:$W110)-2,)-OFFSET($B$5,SUM($W$6:$W110)-3,))+(OFFSET($B$5,SUM($W$6:$W110)-4,)-OFFSET($B$5,SUM($W$6:$W110)-5,))+(OFFSET($B$5,SUM($W$6:$W110)-6,)-OFFSET($B$5,SUM($W$6:$W110)-7,))+(OFFSET($B$5,SUM($W$6:$W110)-8,)-OFFSET($B$5,SUM($W$6:$W110)-9,))</f>
        <v>#VALUE!</v>
      </c>
      <c r="AD110" s="439" t="e">
        <f ca="1">(OFFSET($B$5,SUM($W$6:$W110),)-OFFSET($B$5,SUM($W$6:$W110)-1,))+(OFFSET($B$5,SUM($W$6:$W110)-2,)-OFFSET($B$5,SUM($W$6:$W110)-3,))+(OFFSET($B$5,SUM($W$6:$W110)-4,)-OFFSET($B$5,SUM($W$6:$W110)-5,))+(OFFSET($B$5,SUM($W$6:$W110)-6,)-OFFSET($B$5,SUM($W$6:$W110)-7,))</f>
        <v>#VALUE!</v>
      </c>
      <c r="AE110" s="439" t="e">
        <f ca="1">(OFFSET($B$5,SUM($W$6:$W110),)-OFFSET($B$5,SUM($W$6:$W110)-1,))+(OFFSET($B$5,SUM($W$6:$W110)-2,)-OFFSET($B$5,SUM($W$6:$W110)-3,))+(OFFSET($B$5,SUM($W$6:$W110)-4,)-OFFSET($B$5,SUM($W$6:$W110)-5,))</f>
        <v>#VALUE!</v>
      </c>
      <c r="AF110" s="439" t="e">
        <f ca="1">(OFFSET($B$5,SUM($W$6:$W110),)-OFFSET($B$5,SUM($W$6:$W110)-1,))+(OFFSET($B$5,SUM($W$6:$W110)-2,)-OFFSET($B$5,SUM($W$6:$W110)-3,))</f>
        <v>#VALUE!</v>
      </c>
      <c r="AG110" s="439" t="e">
        <f ca="1">(OFFSET($B$5,SUM($W$6:$W110),)-OFFSET($B$5,SUM($W$6:$W110)-1,))</f>
        <v>#VALUE!</v>
      </c>
      <c r="AH110" s="439" t="e">
        <f ca="1">(OFFSET($B$5,SUM($W$6:$W110)-1,)-OFFSET($B$5,SUM($W$6:$W110)-2,))+(OFFSET($B$5,SUM($W$6:$W110)-3,)-OFFSET($B$5,SUM($W$6:$W110)-4,))+(OFFSET($B$5,SUM($W$6:$W110)-5,)-OFFSET($B$5,SUM($W$6:$W110)-6,))+(OFFSET($B$5,SUM($W$6:$W110)-7,)-OFFSET($B$5,SUM($W$6:$W110)-8,))+(OFFSET($B$5,SUM($W$6:$W110)-9,)-OFFSET($B$5,SUM($W$6:$W110)-10,))</f>
        <v>#REF!</v>
      </c>
      <c r="AI110" s="439" t="e">
        <f ca="1">(OFFSET($B$5,SUM($W$6:$W110)-1,)-OFFSET($B$5,SUM($W$6:$W110)-2,))+(OFFSET($B$5,SUM($W$6:$W110)-3,)-OFFSET($B$5,SUM($W$6:$W110)-4,))+(OFFSET($B$5,SUM($W$6:$W110)-5,)-OFFSET($B$5,SUM($W$6:$W110)-6,))+(OFFSET($B$5,SUM($W$6:$W110)-7,)-OFFSET($B$5,SUM($W$6:$W110)-8,))</f>
        <v>#REF!</v>
      </c>
      <c r="AJ110" s="439" t="e">
        <f ca="1">(OFFSET($B$5,SUM($W$6:$W110)-1,)-OFFSET($B$5,SUM($W$6:$W110)-2,))+(OFFSET($B$5,SUM($W$6:$W110)-3,)-OFFSET($B$5,SUM($W$6:$W110)-4,))+(OFFSET($B$5,SUM($W$6:$W110)-5,)-OFFSET($B$5,SUM($W$6:$W110)-6,))</f>
        <v>#REF!</v>
      </c>
      <c r="AK110" s="439">
        <f ca="1">(OFFSET($B$5,SUM($W$6:$W110)-1,)-OFFSET($B$5,SUM($W$6:$W110)-2,))+(OFFSET($B$5,SUM($W$6:$W110)-3,)-OFFSET($B$5,SUM($W$6:$W110)-4,))</f>
        <v>0</v>
      </c>
      <c r="AL110" s="439">
        <f ca="1">(OFFSET($B$5,SUM($W$6:$W110)-1,)-OFFSET($B$5,SUM($W$6:$W110)-2,))</f>
        <v>0</v>
      </c>
      <c r="AM110" s="433">
        <v>4.3333333333333304</v>
      </c>
    </row>
    <row r="111" spans="6:39" x14ac:dyDescent="0.25">
      <c r="F111" s="374">
        <v>44482</v>
      </c>
      <c r="G111" s="370">
        <f t="shared" si="72"/>
        <v>44482</v>
      </c>
      <c r="H111" s="388">
        <f t="shared" si="76"/>
        <v>0</v>
      </c>
      <c r="I111" s="388">
        <f t="shared" ca="1" si="77"/>
        <v>-0.33333333333333331</v>
      </c>
      <c r="J111" s="386">
        <f ca="1">I111+J110</f>
        <v>-3.3333333333333335</v>
      </c>
      <c r="K111" s="164"/>
      <c r="L111" s="60"/>
      <c r="T111" s="438">
        <f t="shared" si="68"/>
        <v>0</v>
      </c>
      <c r="U111" s="439" t="b">
        <f t="shared" si="69"/>
        <v>0</v>
      </c>
      <c r="V111" s="440" t="b">
        <f t="shared" si="70"/>
        <v>0</v>
      </c>
      <c r="W111" s="437">
        <f t="shared" si="71"/>
        <v>0</v>
      </c>
      <c r="X111" s="439">
        <f t="shared" si="52"/>
        <v>0</v>
      </c>
      <c r="Y111" s="439">
        <f t="shared" si="53"/>
        <v>0</v>
      </c>
      <c r="Z111" s="439">
        <f t="shared" si="67"/>
        <v>0</v>
      </c>
      <c r="AA111" s="439" t="e">
        <f ca="1">(OFFSET($B$5,SUM($W$6:$W111),)-OFFSET($B$5,(SUM($W$6:$W111)-SUM($W111:$W111)+1),))</f>
        <v>#VALUE!</v>
      </c>
      <c r="AB111" s="439" t="e">
        <f ca="1">(OFFSET($B$5,SUM($W$6:$W111),)-OFFSET($B$5,SUM($W$6:$W111)-1,))+(OFFSET($B$5,SUM($W$6:$W111)-2,)-OFFSET($B$5,SUM($W$6:$W111)-3,))+(OFFSET($B$5,SUM($W$6:$W111)-4,)-OFFSET($B$5,SUM($W$6:$W111)-5,))+(OFFSET($B$5,SUM($W$6:$W111)-6,)-OFFSET($B$5,SUM($W$6:$W111)-7,))+(OFFSET($B$5,SUM($W$6:$W111)-8,)-OFFSET($B$5,SUM($W$6:$W111)-9,))+(OFFSET($B$5,SUM($W$6:$W111)-10,)-OFFSET($B$5,SUM($W$6:$W111)-11,))</f>
        <v>#VALUE!</v>
      </c>
      <c r="AC111" s="439" t="e">
        <f ca="1">(OFFSET($B$5,SUM($W$6:$W111),)-OFFSET($B$5,SUM($W$6:$W111)-1,))+(OFFSET($B$5,SUM($W$6:$W111)-2,)-OFFSET($B$5,SUM($W$6:$W111)-3,))+(OFFSET($B$5,SUM($W$6:$W111)-4,)-OFFSET($B$5,SUM($W$6:$W111)-5,))+(OFFSET($B$5,SUM($W$6:$W111)-6,)-OFFSET($B$5,SUM($W$6:$W111)-7,))+(OFFSET($B$5,SUM($W$6:$W111)-8,)-OFFSET($B$5,SUM($W$6:$W111)-9,))</f>
        <v>#VALUE!</v>
      </c>
      <c r="AD111" s="439" t="e">
        <f ca="1">(OFFSET($B$5,SUM($W$6:$W111),)-OFFSET($B$5,SUM($W$6:$W111)-1,))+(OFFSET($B$5,SUM($W$6:$W111)-2,)-OFFSET($B$5,SUM($W$6:$W111)-3,))+(OFFSET($B$5,SUM($W$6:$W111)-4,)-OFFSET($B$5,SUM($W$6:$W111)-5,))+(OFFSET($B$5,SUM($W$6:$W111)-6,)-OFFSET($B$5,SUM($W$6:$W111)-7,))</f>
        <v>#VALUE!</v>
      </c>
      <c r="AE111" s="439" t="e">
        <f ca="1">(OFFSET($B$5,SUM($W$6:$W111),)-OFFSET($B$5,SUM($W$6:$W111)-1,))+(OFFSET($B$5,SUM($W$6:$W111)-2,)-OFFSET($B$5,SUM($W$6:$W111)-3,))+(OFFSET($B$5,SUM($W$6:$W111)-4,)-OFFSET($B$5,SUM($W$6:$W111)-5,))</f>
        <v>#VALUE!</v>
      </c>
      <c r="AF111" s="439" t="e">
        <f ca="1">(OFFSET($B$5,SUM($W$6:$W111),)-OFFSET($B$5,SUM($W$6:$W111)-1,))+(OFFSET($B$5,SUM($W$6:$W111)-2,)-OFFSET($B$5,SUM($W$6:$W111)-3,))</f>
        <v>#VALUE!</v>
      </c>
      <c r="AG111" s="439" t="e">
        <f ca="1">(OFFSET($B$5,SUM($W$6:$W111),)-OFFSET($B$5,SUM($W$6:$W111)-1,))</f>
        <v>#VALUE!</v>
      </c>
      <c r="AH111" s="439" t="e">
        <f ca="1">(OFFSET($B$5,SUM($W$6:$W111)-1,)-OFFSET($B$5,SUM($W$6:$W111)-2,))+(OFFSET($B$5,SUM($W$6:$W111)-3,)-OFFSET($B$5,SUM($W$6:$W111)-4,))+(OFFSET($B$5,SUM($W$6:$W111)-5,)-OFFSET($B$5,SUM($W$6:$W111)-6,))+(OFFSET($B$5,SUM($W$6:$W111)-7,)-OFFSET($B$5,SUM($W$6:$W111)-8,))+(OFFSET($B$5,SUM($W$6:$W111)-9,)-OFFSET($B$5,SUM($W$6:$W111)-10,))</f>
        <v>#REF!</v>
      </c>
      <c r="AI111" s="439" t="e">
        <f ca="1">(OFFSET($B$5,SUM($W$6:$W111)-1,)-OFFSET($B$5,SUM($W$6:$W111)-2,))+(OFFSET($B$5,SUM($W$6:$W111)-3,)-OFFSET($B$5,SUM($W$6:$W111)-4,))+(OFFSET($B$5,SUM($W$6:$W111)-5,)-OFFSET($B$5,SUM($W$6:$W111)-6,))+(OFFSET($B$5,SUM($W$6:$W111)-7,)-OFFSET($B$5,SUM($W$6:$W111)-8,))</f>
        <v>#REF!</v>
      </c>
      <c r="AJ111" s="439" t="e">
        <f ca="1">(OFFSET($B$5,SUM($W$6:$W111)-1,)-OFFSET($B$5,SUM($W$6:$W111)-2,))+(OFFSET($B$5,SUM($W$6:$W111)-3,)-OFFSET($B$5,SUM($W$6:$W111)-4,))+(OFFSET($B$5,SUM($W$6:$W111)-5,)-OFFSET($B$5,SUM($W$6:$W111)-6,))</f>
        <v>#REF!</v>
      </c>
      <c r="AK111" s="439">
        <f ca="1">(OFFSET($B$5,SUM($W$6:$W111)-1,)-OFFSET($B$5,SUM($W$6:$W111)-2,))+(OFFSET($B$5,SUM($W$6:$W111)-3,)-OFFSET($B$5,SUM($W$6:$W111)-4,))</f>
        <v>0</v>
      </c>
      <c r="AL111" s="439">
        <f ca="1">(OFFSET($B$5,SUM($W$6:$W111)-1,)-OFFSET($B$5,SUM($W$6:$W111)-2,))</f>
        <v>0</v>
      </c>
      <c r="AM111" s="433">
        <v>4.375</v>
      </c>
    </row>
    <row r="112" spans="6:39" x14ac:dyDescent="0.25">
      <c r="F112" s="374">
        <v>44483</v>
      </c>
      <c r="G112" s="370">
        <f t="shared" si="72"/>
        <v>44483</v>
      </c>
      <c r="H112" s="388">
        <f t="shared" si="76"/>
        <v>0</v>
      </c>
      <c r="I112" s="388">
        <f t="shared" ca="1" si="77"/>
        <v>-0.33333333333333331</v>
      </c>
      <c r="J112" s="386">
        <f t="shared" ref="J112:J114" ca="1" si="78">I112+J111</f>
        <v>-3.666666666666667</v>
      </c>
      <c r="K112" s="164"/>
      <c r="L112" s="61"/>
      <c r="T112" s="438">
        <f t="shared" si="68"/>
        <v>0</v>
      </c>
      <c r="U112" s="439" t="b">
        <f t="shared" si="69"/>
        <v>0</v>
      </c>
      <c r="V112" s="440" t="b">
        <f t="shared" si="70"/>
        <v>0</v>
      </c>
      <c r="W112" s="437">
        <f t="shared" si="71"/>
        <v>0</v>
      </c>
      <c r="X112" s="439">
        <f t="shared" si="52"/>
        <v>0</v>
      </c>
      <c r="Y112" s="439">
        <f t="shared" si="53"/>
        <v>0</v>
      </c>
      <c r="Z112" s="439">
        <f t="shared" si="67"/>
        <v>0</v>
      </c>
      <c r="AA112" s="439" t="e">
        <f ca="1">(OFFSET($B$5,SUM($W$6:$W112),)-OFFSET($B$5,(SUM($W$6:$W112)-SUM($W112:$W112)+1),))</f>
        <v>#VALUE!</v>
      </c>
      <c r="AB112" s="439" t="e">
        <f ca="1">(OFFSET($B$5,SUM($W$6:$W112),)-OFFSET($B$5,SUM($W$6:$W112)-1,))+(OFFSET($B$5,SUM($W$6:$W112)-2,)-OFFSET($B$5,SUM($W$6:$W112)-3,))+(OFFSET($B$5,SUM($W$6:$W112)-4,)-OFFSET($B$5,SUM($W$6:$W112)-5,))+(OFFSET($B$5,SUM($W$6:$W112)-6,)-OFFSET($B$5,SUM($W$6:$W112)-7,))+(OFFSET($B$5,SUM($W$6:$W112)-8,)-OFFSET($B$5,SUM($W$6:$W112)-9,))+(OFFSET($B$5,SUM($W$6:$W112)-10,)-OFFSET($B$5,SUM($W$6:$W112)-11,))</f>
        <v>#VALUE!</v>
      </c>
      <c r="AC112" s="439" t="e">
        <f ca="1">(OFFSET($B$5,SUM($W$6:$W112),)-OFFSET($B$5,SUM($W$6:$W112)-1,))+(OFFSET($B$5,SUM($W$6:$W112)-2,)-OFFSET($B$5,SUM($W$6:$W112)-3,))+(OFFSET($B$5,SUM($W$6:$W112)-4,)-OFFSET($B$5,SUM($W$6:$W112)-5,))+(OFFSET($B$5,SUM($W$6:$W112)-6,)-OFFSET($B$5,SUM($W$6:$W112)-7,))+(OFFSET($B$5,SUM($W$6:$W112)-8,)-OFFSET($B$5,SUM($W$6:$W112)-9,))</f>
        <v>#VALUE!</v>
      </c>
      <c r="AD112" s="439" t="e">
        <f ca="1">(OFFSET($B$5,SUM($W$6:$W112),)-OFFSET($B$5,SUM($W$6:$W112)-1,))+(OFFSET($B$5,SUM($W$6:$W112)-2,)-OFFSET($B$5,SUM($W$6:$W112)-3,))+(OFFSET($B$5,SUM($W$6:$W112)-4,)-OFFSET($B$5,SUM($W$6:$W112)-5,))+(OFFSET($B$5,SUM($W$6:$W112)-6,)-OFFSET($B$5,SUM($W$6:$W112)-7,))</f>
        <v>#VALUE!</v>
      </c>
      <c r="AE112" s="439" t="e">
        <f ca="1">(OFFSET($B$5,SUM($W$6:$W112),)-OFFSET($B$5,SUM($W$6:$W112)-1,))+(OFFSET($B$5,SUM($W$6:$W112)-2,)-OFFSET($B$5,SUM($W$6:$W112)-3,))+(OFFSET($B$5,SUM($W$6:$W112)-4,)-OFFSET($B$5,SUM($W$6:$W112)-5,))</f>
        <v>#VALUE!</v>
      </c>
      <c r="AF112" s="439" t="e">
        <f ca="1">(OFFSET($B$5,SUM($W$6:$W112),)-OFFSET($B$5,SUM($W$6:$W112)-1,))+(OFFSET($B$5,SUM($W$6:$W112)-2,)-OFFSET($B$5,SUM($W$6:$W112)-3,))</f>
        <v>#VALUE!</v>
      </c>
      <c r="AG112" s="439" t="e">
        <f ca="1">(OFFSET($B$5,SUM($W$6:$W112),)-OFFSET($B$5,SUM($W$6:$W112)-1,))</f>
        <v>#VALUE!</v>
      </c>
      <c r="AH112" s="439" t="e">
        <f ca="1">(OFFSET($B$5,SUM($W$6:$W112)-1,)-OFFSET($B$5,SUM($W$6:$W112)-2,))+(OFFSET($B$5,SUM($W$6:$W112)-3,)-OFFSET($B$5,SUM($W$6:$W112)-4,))+(OFFSET($B$5,SUM($W$6:$W112)-5,)-OFFSET($B$5,SUM($W$6:$W112)-6,))+(OFFSET($B$5,SUM($W$6:$W112)-7,)-OFFSET($B$5,SUM($W$6:$W112)-8,))+(OFFSET($B$5,SUM($W$6:$W112)-9,)-OFFSET($B$5,SUM($W$6:$W112)-10,))</f>
        <v>#REF!</v>
      </c>
      <c r="AI112" s="439" t="e">
        <f ca="1">(OFFSET($B$5,SUM($W$6:$W112)-1,)-OFFSET($B$5,SUM($W$6:$W112)-2,))+(OFFSET($B$5,SUM($W$6:$W112)-3,)-OFFSET($B$5,SUM($W$6:$W112)-4,))+(OFFSET($B$5,SUM($W$6:$W112)-5,)-OFFSET($B$5,SUM($W$6:$W112)-6,))+(OFFSET($B$5,SUM($W$6:$W112)-7,)-OFFSET($B$5,SUM($W$6:$W112)-8,))</f>
        <v>#REF!</v>
      </c>
      <c r="AJ112" s="439" t="e">
        <f ca="1">(OFFSET($B$5,SUM($W$6:$W112)-1,)-OFFSET($B$5,SUM($W$6:$W112)-2,))+(OFFSET($B$5,SUM($W$6:$W112)-3,)-OFFSET($B$5,SUM($W$6:$W112)-4,))+(OFFSET($B$5,SUM($W$6:$W112)-5,)-OFFSET($B$5,SUM($W$6:$W112)-6,))</f>
        <v>#REF!</v>
      </c>
      <c r="AK112" s="439">
        <f ca="1">(OFFSET($B$5,SUM($W$6:$W112)-1,)-OFFSET($B$5,SUM($W$6:$W112)-2,))+(OFFSET($B$5,SUM($W$6:$W112)-3,)-OFFSET($B$5,SUM($W$6:$W112)-4,))</f>
        <v>0</v>
      </c>
      <c r="AL112" s="439">
        <f ca="1">(OFFSET($B$5,SUM($W$6:$W112)-1,)-OFFSET($B$5,SUM($W$6:$W112)-2,))</f>
        <v>0</v>
      </c>
      <c r="AM112" s="433">
        <v>4.4166666666666696</v>
      </c>
    </row>
    <row r="113" spans="6:39" x14ac:dyDescent="0.25">
      <c r="F113" s="374">
        <v>44484</v>
      </c>
      <c r="G113" s="370">
        <f t="shared" si="72"/>
        <v>44484</v>
      </c>
      <c r="H113" s="388">
        <f t="shared" si="76"/>
        <v>0</v>
      </c>
      <c r="I113" s="388">
        <f t="shared" ca="1" si="77"/>
        <v>-0.33333333333333331</v>
      </c>
      <c r="J113" s="386">
        <f t="shared" ca="1" si="78"/>
        <v>-4</v>
      </c>
      <c r="K113" s="164"/>
      <c r="L113" s="60"/>
      <c r="T113" s="438">
        <f t="shared" si="68"/>
        <v>0</v>
      </c>
      <c r="U113" s="439" t="b">
        <f t="shared" si="69"/>
        <v>0</v>
      </c>
      <c r="V113" s="440" t="b">
        <f t="shared" si="70"/>
        <v>0</v>
      </c>
      <c r="W113" s="437">
        <f t="shared" si="71"/>
        <v>0</v>
      </c>
      <c r="X113" s="439">
        <f t="shared" si="52"/>
        <v>0</v>
      </c>
      <c r="Y113" s="439">
        <f t="shared" si="53"/>
        <v>0</v>
      </c>
      <c r="Z113" s="439">
        <f t="shared" si="67"/>
        <v>0</v>
      </c>
      <c r="AA113" s="439" t="e">
        <f ca="1">(OFFSET($B$5,SUM($W$6:$W113),)-OFFSET($B$5,(SUM($W$6:$W113)-SUM($W113:$W113)+1),))</f>
        <v>#VALUE!</v>
      </c>
      <c r="AB113" s="439" t="e">
        <f ca="1">(OFFSET($B$5,SUM($W$6:$W113),)-OFFSET($B$5,SUM($W$6:$W113)-1,))+(OFFSET($B$5,SUM($W$6:$W113)-2,)-OFFSET($B$5,SUM($W$6:$W113)-3,))+(OFFSET($B$5,SUM($W$6:$W113)-4,)-OFFSET($B$5,SUM($W$6:$W113)-5,))+(OFFSET($B$5,SUM($W$6:$W113)-6,)-OFFSET($B$5,SUM($W$6:$W113)-7,))+(OFFSET($B$5,SUM($W$6:$W113)-8,)-OFFSET($B$5,SUM($W$6:$W113)-9,))+(OFFSET($B$5,SUM($W$6:$W113)-10,)-OFFSET($B$5,SUM($W$6:$W113)-11,))</f>
        <v>#VALUE!</v>
      </c>
      <c r="AC113" s="439" t="e">
        <f ca="1">(OFFSET($B$5,SUM($W$6:$W113),)-OFFSET($B$5,SUM($W$6:$W113)-1,))+(OFFSET($B$5,SUM($W$6:$W113)-2,)-OFFSET($B$5,SUM($W$6:$W113)-3,))+(OFFSET($B$5,SUM($W$6:$W113)-4,)-OFFSET($B$5,SUM($W$6:$W113)-5,))+(OFFSET($B$5,SUM($W$6:$W113)-6,)-OFFSET($B$5,SUM($W$6:$W113)-7,))+(OFFSET($B$5,SUM($W$6:$W113)-8,)-OFFSET($B$5,SUM($W$6:$W113)-9,))</f>
        <v>#VALUE!</v>
      </c>
      <c r="AD113" s="439" t="e">
        <f ca="1">(OFFSET($B$5,SUM($W$6:$W113),)-OFFSET($B$5,SUM($W$6:$W113)-1,))+(OFFSET($B$5,SUM($W$6:$W113)-2,)-OFFSET($B$5,SUM($W$6:$W113)-3,))+(OFFSET($B$5,SUM($W$6:$W113)-4,)-OFFSET($B$5,SUM($W$6:$W113)-5,))+(OFFSET($B$5,SUM($W$6:$W113)-6,)-OFFSET($B$5,SUM($W$6:$W113)-7,))</f>
        <v>#VALUE!</v>
      </c>
      <c r="AE113" s="439" t="e">
        <f ca="1">(OFFSET($B$5,SUM($W$6:$W113),)-OFFSET($B$5,SUM($W$6:$W113)-1,))+(OFFSET($B$5,SUM($W$6:$W113)-2,)-OFFSET($B$5,SUM($W$6:$W113)-3,))+(OFFSET($B$5,SUM($W$6:$W113)-4,)-OFFSET($B$5,SUM($W$6:$W113)-5,))</f>
        <v>#VALUE!</v>
      </c>
      <c r="AF113" s="439" t="e">
        <f ca="1">(OFFSET($B$5,SUM($W$6:$W113),)-OFFSET($B$5,SUM($W$6:$W113)-1,))+(OFFSET($B$5,SUM($W$6:$W113)-2,)-OFFSET($B$5,SUM($W$6:$W113)-3,))</f>
        <v>#VALUE!</v>
      </c>
      <c r="AG113" s="439" t="e">
        <f ca="1">(OFFSET($B$5,SUM($W$6:$W113),)-OFFSET($B$5,SUM($W$6:$W113)-1,))</f>
        <v>#VALUE!</v>
      </c>
      <c r="AH113" s="439" t="e">
        <f ca="1">(OFFSET($B$5,SUM($W$6:$W113)-1,)-OFFSET($B$5,SUM($W$6:$W113)-2,))+(OFFSET($B$5,SUM($W$6:$W113)-3,)-OFFSET($B$5,SUM($W$6:$W113)-4,))+(OFFSET($B$5,SUM($W$6:$W113)-5,)-OFFSET($B$5,SUM($W$6:$W113)-6,))+(OFFSET($B$5,SUM($W$6:$W113)-7,)-OFFSET($B$5,SUM($W$6:$W113)-8,))+(OFFSET($B$5,SUM($W$6:$W113)-9,)-OFFSET($B$5,SUM($W$6:$W113)-10,))</f>
        <v>#REF!</v>
      </c>
      <c r="AI113" s="439" t="e">
        <f ca="1">(OFFSET($B$5,SUM($W$6:$W113)-1,)-OFFSET($B$5,SUM($W$6:$W113)-2,))+(OFFSET($B$5,SUM($W$6:$W113)-3,)-OFFSET($B$5,SUM($W$6:$W113)-4,))+(OFFSET($B$5,SUM($W$6:$W113)-5,)-OFFSET($B$5,SUM($W$6:$W113)-6,))+(OFFSET($B$5,SUM($W$6:$W113)-7,)-OFFSET($B$5,SUM($W$6:$W113)-8,))</f>
        <v>#REF!</v>
      </c>
      <c r="AJ113" s="439" t="e">
        <f ca="1">(OFFSET($B$5,SUM($W$6:$W113)-1,)-OFFSET($B$5,SUM($W$6:$W113)-2,))+(OFFSET($B$5,SUM($W$6:$W113)-3,)-OFFSET($B$5,SUM($W$6:$W113)-4,))+(OFFSET($B$5,SUM($W$6:$W113)-5,)-OFFSET($B$5,SUM($W$6:$W113)-6,))</f>
        <v>#REF!</v>
      </c>
      <c r="AK113" s="439">
        <f ca="1">(OFFSET($B$5,SUM($W$6:$W113)-1,)-OFFSET($B$5,SUM($W$6:$W113)-2,))+(OFFSET($B$5,SUM($W$6:$W113)-3,)-OFFSET($B$5,SUM($W$6:$W113)-4,))</f>
        <v>0</v>
      </c>
      <c r="AL113" s="439">
        <f ca="1">(OFFSET($B$5,SUM($W$6:$W113)-1,)-OFFSET($B$5,SUM($W$6:$W113)-2,))</f>
        <v>0</v>
      </c>
      <c r="AM113" s="433">
        <v>4.4583333333333304</v>
      </c>
    </row>
    <row r="114" spans="6:39" x14ac:dyDescent="0.25">
      <c r="F114" s="374">
        <v>44485</v>
      </c>
      <c r="G114" s="370">
        <f t="shared" si="72"/>
        <v>44485</v>
      </c>
      <c r="H114" s="388">
        <f t="shared" si="76"/>
        <v>0</v>
      </c>
      <c r="I114" s="388">
        <f t="shared" ca="1" si="77"/>
        <v>-0.33333333333333331</v>
      </c>
      <c r="J114" s="386">
        <f t="shared" ca="1" si="78"/>
        <v>-4.333333333333333</v>
      </c>
      <c r="K114" s="164"/>
      <c r="L114" s="60"/>
      <c r="T114" s="438">
        <f t="shared" si="68"/>
        <v>0</v>
      </c>
      <c r="U114" s="439" t="b">
        <f t="shared" si="69"/>
        <v>0</v>
      </c>
      <c r="V114" s="440" t="b">
        <f t="shared" si="70"/>
        <v>0</v>
      </c>
      <c r="W114" s="437">
        <f t="shared" si="71"/>
        <v>0</v>
      </c>
      <c r="X114" s="439">
        <f t="shared" si="52"/>
        <v>0</v>
      </c>
      <c r="Y114" s="439">
        <f t="shared" si="53"/>
        <v>0</v>
      </c>
      <c r="Z114" s="439">
        <f t="shared" si="67"/>
        <v>0</v>
      </c>
      <c r="AA114" s="439" t="e">
        <f ca="1">(OFFSET($B$5,SUM($W$6:$W114),)-OFFSET($B$5,(SUM($W$6:$W114)-SUM($W114:$W114)+1),))</f>
        <v>#VALUE!</v>
      </c>
      <c r="AB114" s="439" t="e">
        <f ca="1">(OFFSET($B$5,SUM($W$6:$W114),)-OFFSET($B$5,SUM($W$6:$W114)-1,))+(OFFSET($B$5,SUM($W$6:$W114)-2,)-OFFSET($B$5,SUM($W$6:$W114)-3,))+(OFFSET($B$5,SUM($W$6:$W114)-4,)-OFFSET($B$5,SUM($W$6:$W114)-5,))+(OFFSET($B$5,SUM($W$6:$W114)-6,)-OFFSET($B$5,SUM($W$6:$W114)-7,))+(OFFSET($B$5,SUM($W$6:$W114)-8,)-OFFSET($B$5,SUM($W$6:$W114)-9,))+(OFFSET($B$5,SUM($W$6:$W114)-10,)-OFFSET($B$5,SUM($W$6:$W114)-11,))</f>
        <v>#VALUE!</v>
      </c>
      <c r="AC114" s="439" t="e">
        <f ca="1">(OFFSET($B$5,SUM($W$6:$W114),)-OFFSET($B$5,SUM($W$6:$W114)-1,))+(OFFSET($B$5,SUM($W$6:$W114)-2,)-OFFSET($B$5,SUM($W$6:$W114)-3,))+(OFFSET($B$5,SUM($W$6:$W114)-4,)-OFFSET($B$5,SUM($W$6:$W114)-5,))+(OFFSET($B$5,SUM($W$6:$W114)-6,)-OFFSET($B$5,SUM($W$6:$W114)-7,))+(OFFSET($B$5,SUM($W$6:$W114)-8,)-OFFSET($B$5,SUM($W$6:$W114)-9,))</f>
        <v>#VALUE!</v>
      </c>
      <c r="AD114" s="439" t="e">
        <f ca="1">(OFFSET($B$5,SUM($W$6:$W114),)-OFFSET($B$5,SUM($W$6:$W114)-1,))+(OFFSET($B$5,SUM($W$6:$W114)-2,)-OFFSET($B$5,SUM($W$6:$W114)-3,))+(OFFSET($B$5,SUM($W$6:$W114)-4,)-OFFSET($B$5,SUM($W$6:$W114)-5,))+(OFFSET($B$5,SUM($W$6:$W114)-6,)-OFFSET($B$5,SUM($W$6:$W114)-7,))</f>
        <v>#VALUE!</v>
      </c>
      <c r="AE114" s="439" t="e">
        <f ca="1">(OFFSET($B$5,SUM($W$6:$W114),)-OFFSET($B$5,SUM($W$6:$W114)-1,))+(OFFSET($B$5,SUM($W$6:$W114)-2,)-OFFSET($B$5,SUM($W$6:$W114)-3,))+(OFFSET($B$5,SUM($W$6:$W114)-4,)-OFFSET($B$5,SUM($W$6:$W114)-5,))</f>
        <v>#VALUE!</v>
      </c>
      <c r="AF114" s="439" t="e">
        <f ca="1">(OFFSET($B$5,SUM($W$6:$W114),)-OFFSET($B$5,SUM($W$6:$W114)-1,))+(OFFSET($B$5,SUM($W$6:$W114)-2,)-OFFSET($B$5,SUM($W$6:$W114)-3,))</f>
        <v>#VALUE!</v>
      </c>
      <c r="AG114" s="439" t="e">
        <f ca="1">(OFFSET($B$5,SUM($W$6:$W114),)-OFFSET($B$5,SUM($W$6:$W114)-1,))</f>
        <v>#VALUE!</v>
      </c>
      <c r="AH114" s="439" t="e">
        <f ca="1">(OFFSET($B$5,SUM($W$6:$W114)-1,)-OFFSET($B$5,SUM($W$6:$W114)-2,))+(OFFSET($B$5,SUM($W$6:$W114)-3,)-OFFSET($B$5,SUM($W$6:$W114)-4,))+(OFFSET($B$5,SUM($W$6:$W114)-5,)-OFFSET($B$5,SUM($W$6:$W114)-6,))+(OFFSET($B$5,SUM($W$6:$W114)-7,)-OFFSET($B$5,SUM($W$6:$W114)-8,))+(OFFSET($B$5,SUM($W$6:$W114)-9,)-OFFSET($B$5,SUM($W$6:$W114)-10,))</f>
        <v>#REF!</v>
      </c>
      <c r="AI114" s="439" t="e">
        <f ca="1">(OFFSET($B$5,SUM($W$6:$W114)-1,)-OFFSET($B$5,SUM($W$6:$W114)-2,))+(OFFSET($B$5,SUM($W$6:$W114)-3,)-OFFSET($B$5,SUM($W$6:$W114)-4,))+(OFFSET($B$5,SUM($W$6:$W114)-5,)-OFFSET($B$5,SUM($W$6:$W114)-6,))+(OFFSET($B$5,SUM($W$6:$W114)-7,)-OFFSET($B$5,SUM($W$6:$W114)-8,))</f>
        <v>#REF!</v>
      </c>
      <c r="AJ114" s="439" t="e">
        <f ca="1">(OFFSET($B$5,SUM($W$6:$W114)-1,)-OFFSET($B$5,SUM($W$6:$W114)-2,))+(OFFSET($B$5,SUM($W$6:$W114)-3,)-OFFSET($B$5,SUM($W$6:$W114)-4,))+(OFFSET($B$5,SUM($W$6:$W114)-5,)-OFFSET($B$5,SUM($W$6:$W114)-6,))</f>
        <v>#REF!</v>
      </c>
      <c r="AK114" s="439">
        <f ca="1">(OFFSET($B$5,SUM($W$6:$W114)-1,)-OFFSET($B$5,SUM($W$6:$W114)-2,))+(OFFSET($B$5,SUM($W$6:$W114)-3,)-OFFSET($B$5,SUM($W$6:$W114)-4,))</f>
        <v>0</v>
      </c>
      <c r="AL114" s="439">
        <f ca="1">(OFFSET($B$5,SUM($W$6:$W114)-1,)-OFFSET($B$5,SUM($W$6:$W114)-2,))</f>
        <v>0</v>
      </c>
      <c r="AM114" s="433">
        <v>4.5</v>
      </c>
    </row>
    <row r="115" spans="6:39" x14ac:dyDescent="0.25">
      <c r="F115" s="374">
        <v>44486</v>
      </c>
      <c r="G115" s="404">
        <f t="shared" si="72"/>
        <v>44486</v>
      </c>
      <c r="H115" s="389"/>
      <c r="I115" s="389"/>
      <c r="J115" s="389"/>
      <c r="K115" s="164"/>
      <c r="L115" s="60"/>
      <c r="T115" s="438">
        <f t="shared" si="68"/>
        <v>0</v>
      </c>
      <c r="U115" s="439" t="b">
        <f t="shared" si="69"/>
        <v>0</v>
      </c>
      <c r="V115" s="440" t="b">
        <f t="shared" si="70"/>
        <v>0</v>
      </c>
      <c r="W115" s="437">
        <f t="shared" si="71"/>
        <v>0</v>
      </c>
      <c r="X115" s="439">
        <f t="shared" si="52"/>
        <v>0</v>
      </c>
      <c r="Y115" s="439">
        <f t="shared" si="53"/>
        <v>0</v>
      </c>
      <c r="Z115" s="439">
        <f t="shared" si="67"/>
        <v>0</v>
      </c>
      <c r="AA115" s="439" t="e">
        <f ca="1">(OFFSET($B$5,SUM($W$6:$W115),)-OFFSET($B$5,(SUM($W$6:$W115)-SUM($W115:$W115)+1),))</f>
        <v>#VALUE!</v>
      </c>
      <c r="AB115" s="439" t="e">
        <f ca="1">(OFFSET($B$5,SUM($W$6:$W115),)-OFFSET($B$5,SUM($W$6:$W115)-1,))+(OFFSET($B$5,SUM($W$6:$W115)-2,)-OFFSET($B$5,SUM($W$6:$W115)-3,))+(OFFSET($B$5,SUM($W$6:$W115)-4,)-OFFSET($B$5,SUM($W$6:$W115)-5,))+(OFFSET($B$5,SUM($W$6:$W115)-6,)-OFFSET($B$5,SUM($W$6:$W115)-7,))+(OFFSET($B$5,SUM($W$6:$W115)-8,)-OFFSET($B$5,SUM($W$6:$W115)-9,))+(OFFSET($B$5,SUM($W$6:$W115)-10,)-OFFSET($B$5,SUM($W$6:$W115)-11,))</f>
        <v>#VALUE!</v>
      </c>
      <c r="AC115" s="439" t="e">
        <f ca="1">(OFFSET($B$5,SUM($W$6:$W115),)-OFFSET($B$5,SUM($W$6:$W115)-1,))+(OFFSET($B$5,SUM($W$6:$W115)-2,)-OFFSET($B$5,SUM($W$6:$W115)-3,))+(OFFSET($B$5,SUM($W$6:$W115)-4,)-OFFSET($B$5,SUM($W$6:$W115)-5,))+(OFFSET($B$5,SUM($W$6:$W115)-6,)-OFFSET($B$5,SUM($W$6:$W115)-7,))+(OFFSET($B$5,SUM($W$6:$W115)-8,)-OFFSET($B$5,SUM($W$6:$W115)-9,))</f>
        <v>#VALUE!</v>
      </c>
      <c r="AD115" s="439" t="e">
        <f ca="1">(OFFSET($B$5,SUM($W$6:$W115),)-OFFSET($B$5,SUM($W$6:$W115)-1,))+(OFFSET($B$5,SUM($W$6:$W115)-2,)-OFFSET($B$5,SUM($W$6:$W115)-3,))+(OFFSET($B$5,SUM($W$6:$W115)-4,)-OFFSET($B$5,SUM($W$6:$W115)-5,))+(OFFSET($B$5,SUM($W$6:$W115)-6,)-OFFSET($B$5,SUM($W$6:$W115)-7,))</f>
        <v>#VALUE!</v>
      </c>
      <c r="AE115" s="439" t="e">
        <f ca="1">(OFFSET($B$5,SUM($W$6:$W115),)-OFFSET($B$5,SUM($W$6:$W115)-1,))+(OFFSET($B$5,SUM($W$6:$W115)-2,)-OFFSET($B$5,SUM($W$6:$W115)-3,))+(OFFSET($B$5,SUM($W$6:$W115)-4,)-OFFSET($B$5,SUM($W$6:$W115)-5,))</f>
        <v>#VALUE!</v>
      </c>
      <c r="AF115" s="439" t="e">
        <f ca="1">(OFFSET($B$5,SUM($W$6:$W115),)-OFFSET($B$5,SUM($W$6:$W115)-1,))+(OFFSET($B$5,SUM($W$6:$W115)-2,)-OFFSET($B$5,SUM($W$6:$W115)-3,))</f>
        <v>#VALUE!</v>
      </c>
      <c r="AG115" s="439" t="e">
        <f ca="1">(OFFSET($B$5,SUM($W$6:$W115),)-OFFSET($B$5,SUM($W$6:$W115)-1,))</f>
        <v>#VALUE!</v>
      </c>
      <c r="AH115" s="439" t="e">
        <f ca="1">(OFFSET($B$5,SUM($W$6:$W115)-1,)-OFFSET($B$5,SUM($W$6:$W115)-2,))+(OFFSET($B$5,SUM($W$6:$W115)-3,)-OFFSET($B$5,SUM($W$6:$W115)-4,))+(OFFSET($B$5,SUM($W$6:$W115)-5,)-OFFSET($B$5,SUM($W$6:$W115)-6,))+(OFFSET($B$5,SUM($W$6:$W115)-7,)-OFFSET($B$5,SUM($W$6:$W115)-8,))+(OFFSET($B$5,SUM($W$6:$W115)-9,)-OFFSET($B$5,SUM($W$6:$W115)-10,))</f>
        <v>#REF!</v>
      </c>
      <c r="AI115" s="439" t="e">
        <f ca="1">(OFFSET($B$5,SUM($W$6:$W115)-1,)-OFFSET($B$5,SUM($W$6:$W115)-2,))+(OFFSET($B$5,SUM($W$6:$W115)-3,)-OFFSET($B$5,SUM($W$6:$W115)-4,))+(OFFSET($B$5,SUM($W$6:$W115)-5,)-OFFSET($B$5,SUM($W$6:$W115)-6,))+(OFFSET($B$5,SUM($W$6:$W115)-7,)-OFFSET($B$5,SUM($W$6:$W115)-8,))</f>
        <v>#REF!</v>
      </c>
      <c r="AJ115" s="439" t="e">
        <f ca="1">(OFFSET($B$5,SUM($W$6:$W115)-1,)-OFFSET($B$5,SUM($W$6:$W115)-2,))+(OFFSET($B$5,SUM($W$6:$W115)-3,)-OFFSET($B$5,SUM($W$6:$W115)-4,))+(OFFSET($B$5,SUM($W$6:$W115)-5,)-OFFSET($B$5,SUM($W$6:$W115)-6,))</f>
        <v>#REF!</v>
      </c>
      <c r="AK115" s="439">
        <f ca="1">(OFFSET($B$5,SUM($W$6:$W115)-1,)-OFFSET($B$5,SUM($W$6:$W115)-2,))+(OFFSET($B$5,SUM($W$6:$W115)-3,)-OFFSET($B$5,SUM($W$6:$W115)-4,))</f>
        <v>0</v>
      </c>
      <c r="AL115" s="439">
        <f ca="1">(OFFSET($B$5,SUM($W$6:$W115)-1,)-OFFSET($B$5,SUM($W$6:$W115)-2,))</f>
        <v>0</v>
      </c>
      <c r="AM115" s="433">
        <v>4.5416666666666696</v>
      </c>
    </row>
    <row r="116" spans="6:39" x14ac:dyDescent="0.25">
      <c r="F116" s="374">
        <v>44487</v>
      </c>
      <c r="G116" s="404">
        <f t="shared" si="72"/>
        <v>44487</v>
      </c>
      <c r="H116" s="389"/>
      <c r="I116" s="389"/>
      <c r="J116" s="389"/>
      <c r="K116" s="164"/>
      <c r="L116" s="60"/>
      <c r="T116" s="438">
        <f t="shared" si="68"/>
        <v>0</v>
      </c>
      <c r="U116" s="439" t="b">
        <f t="shared" si="69"/>
        <v>0</v>
      </c>
      <c r="V116" s="440" t="b">
        <f t="shared" si="70"/>
        <v>0</v>
      </c>
      <c r="W116" s="437">
        <f t="shared" si="71"/>
        <v>0</v>
      </c>
      <c r="X116" s="439">
        <f t="shared" si="52"/>
        <v>0</v>
      </c>
      <c r="Y116" s="439">
        <f t="shared" si="53"/>
        <v>0</v>
      </c>
      <c r="Z116" s="439">
        <f t="shared" si="67"/>
        <v>0</v>
      </c>
      <c r="AA116" s="439" t="e">
        <f ca="1">(OFFSET($B$5,SUM($W$6:$W116),)-OFFSET($B$5,(SUM($W$6:$W116)-SUM($W116:$W116)+1),))</f>
        <v>#VALUE!</v>
      </c>
      <c r="AB116" s="439" t="e">
        <f ca="1">(OFFSET($B$5,SUM($W$6:$W116),)-OFFSET($B$5,SUM($W$6:$W116)-1,))+(OFFSET($B$5,SUM($W$6:$W116)-2,)-OFFSET($B$5,SUM($W$6:$W116)-3,))+(OFFSET($B$5,SUM($W$6:$W116)-4,)-OFFSET($B$5,SUM($W$6:$W116)-5,))+(OFFSET($B$5,SUM($W$6:$W116)-6,)-OFFSET($B$5,SUM($W$6:$W116)-7,))+(OFFSET($B$5,SUM($W$6:$W116)-8,)-OFFSET($B$5,SUM($W$6:$W116)-9,))+(OFFSET($B$5,SUM($W$6:$W116)-10,)-OFFSET($B$5,SUM($W$6:$W116)-11,))</f>
        <v>#VALUE!</v>
      </c>
      <c r="AC116" s="439" t="e">
        <f ca="1">(OFFSET($B$5,SUM($W$6:$W116),)-OFFSET($B$5,SUM($W$6:$W116)-1,))+(OFFSET($B$5,SUM($W$6:$W116)-2,)-OFFSET($B$5,SUM($W$6:$W116)-3,))+(OFFSET($B$5,SUM($W$6:$W116)-4,)-OFFSET($B$5,SUM($W$6:$W116)-5,))+(OFFSET($B$5,SUM($W$6:$W116)-6,)-OFFSET($B$5,SUM($W$6:$W116)-7,))+(OFFSET($B$5,SUM($W$6:$W116)-8,)-OFFSET($B$5,SUM($W$6:$W116)-9,))</f>
        <v>#VALUE!</v>
      </c>
      <c r="AD116" s="439" t="e">
        <f ca="1">(OFFSET($B$5,SUM($W$6:$W116),)-OFFSET($B$5,SUM($W$6:$W116)-1,))+(OFFSET($B$5,SUM($W$6:$W116)-2,)-OFFSET($B$5,SUM($W$6:$W116)-3,))+(OFFSET($B$5,SUM($W$6:$W116)-4,)-OFFSET($B$5,SUM($W$6:$W116)-5,))+(OFFSET($B$5,SUM($W$6:$W116)-6,)-OFFSET($B$5,SUM($W$6:$W116)-7,))</f>
        <v>#VALUE!</v>
      </c>
      <c r="AE116" s="439" t="e">
        <f ca="1">(OFFSET($B$5,SUM($W$6:$W116),)-OFFSET($B$5,SUM($W$6:$W116)-1,))+(OFFSET($B$5,SUM($W$6:$W116)-2,)-OFFSET($B$5,SUM($W$6:$W116)-3,))+(OFFSET($B$5,SUM($W$6:$W116)-4,)-OFFSET($B$5,SUM($W$6:$W116)-5,))</f>
        <v>#VALUE!</v>
      </c>
      <c r="AF116" s="439" t="e">
        <f ca="1">(OFFSET($B$5,SUM($W$6:$W116),)-OFFSET($B$5,SUM($W$6:$W116)-1,))+(OFFSET($B$5,SUM($W$6:$W116)-2,)-OFFSET($B$5,SUM($W$6:$W116)-3,))</f>
        <v>#VALUE!</v>
      </c>
      <c r="AG116" s="439" t="e">
        <f ca="1">(OFFSET($B$5,SUM($W$6:$W116),)-OFFSET($B$5,SUM($W$6:$W116)-1,))</f>
        <v>#VALUE!</v>
      </c>
      <c r="AH116" s="439" t="e">
        <f ca="1">(OFFSET($B$5,SUM($W$6:$W116)-1,)-OFFSET($B$5,SUM($W$6:$W116)-2,))+(OFFSET($B$5,SUM($W$6:$W116)-3,)-OFFSET($B$5,SUM($W$6:$W116)-4,))+(OFFSET($B$5,SUM($W$6:$W116)-5,)-OFFSET($B$5,SUM($W$6:$W116)-6,))+(OFFSET($B$5,SUM($W$6:$W116)-7,)-OFFSET($B$5,SUM($W$6:$W116)-8,))+(OFFSET($B$5,SUM($W$6:$W116)-9,)-OFFSET($B$5,SUM($W$6:$W116)-10,))</f>
        <v>#REF!</v>
      </c>
      <c r="AI116" s="439" t="e">
        <f ca="1">(OFFSET($B$5,SUM($W$6:$W116)-1,)-OFFSET($B$5,SUM($W$6:$W116)-2,))+(OFFSET($B$5,SUM($W$6:$W116)-3,)-OFFSET($B$5,SUM($W$6:$W116)-4,))+(OFFSET($B$5,SUM($W$6:$W116)-5,)-OFFSET($B$5,SUM($W$6:$W116)-6,))+(OFFSET($B$5,SUM($W$6:$W116)-7,)-OFFSET($B$5,SUM($W$6:$W116)-8,))</f>
        <v>#REF!</v>
      </c>
      <c r="AJ116" s="439" t="e">
        <f ca="1">(OFFSET($B$5,SUM($W$6:$W116)-1,)-OFFSET($B$5,SUM($W$6:$W116)-2,))+(OFFSET($B$5,SUM($W$6:$W116)-3,)-OFFSET($B$5,SUM($W$6:$W116)-4,))+(OFFSET($B$5,SUM($W$6:$W116)-5,)-OFFSET($B$5,SUM($W$6:$W116)-6,))</f>
        <v>#REF!</v>
      </c>
      <c r="AK116" s="439">
        <f ca="1">(OFFSET($B$5,SUM($W$6:$W116)-1,)-OFFSET($B$5,SUM($W$6:$W116)-2,))+(OFFSET($B$5,SUM($W$6:$W116)-3,)-OFFSET($B$5,SUM($W$6:$W116)-4,))</f>
        <v>0</v>
      </c>
      <c r="AL116" s="439">
        <f ca="1">(OFFSET($B$5,SUM($W$6:$W116)-1,)-OFFSET($B$5,SUM($W$6:$W116)-2,))</f>
        <v>0</v>
      </c>
      <c r="AM116" s="433">
        <v>4.5833333333333304</v>
      </c>
    </row>
    <row r="117" spans="6:39" x14ac:dyDescent="0.25">
      <c r="F117" s="374">
        <v>44488</v>
      </c>
      <c r="G117" s="370">
        <f t="shared" si="72"/>
        <v>44488</v>
      </c>
      <c r="H117" s="388">
        <f t="shared" ref="H117:H121" si="79">X117</f>
        <v>0</v>
      </c>
      <c r="I117" s="388">
        <f t="shared" ref="I117:I121" ca="1" si="80">IFERROR(H117+T117+OFFSET($L$99,MATCH(F117,$K$100:$K$128,0),0)-$W$2,H117-$W$2)</f>
        <v>-0.33333333333333331</v>
      </c>
      <c r="J117" s="386">
        <f ca="1">I117+J114</f>
        <v>-4.6666666666666661</v>
      </c>
      <c r="K117" s="164"/>
      <c r="L117" s="60"/>
      <c r="T117" s="438">
        <f t="shared" si="68"/>
        <v>0</v>
      </c>
      <c r="U117" s="439" t="b">
        <f t="shared" si="69"/>
        <v>0</v>
      </c>
      <c r="V117" s="440" t="b">
        <f t="shared" si="70"/>
        <v>0</v>
      </c>
      <c r="W117" s="437">
        <f t="shared" si="71"/>
        <v>0</v>
      </c>
      <c r="X117" s="439">
        <f t="shared" si="52"/>
        <v>0</v>
      </c>
      <c r="Y117" s="439">
        <f t="shared" si="53"/>
        <v>0</v>
      </c>
      <c r="Z117" s="439">
        <f t="shared" si="67"/>
        <v>0</v>
      </c>
      <c r="AA117" s="439" t="e">
        <f ca="1">(OFFSET($B$5,SUM($W$6:$W117),)-OFFSET($B$5,(SUM($W$6:$W117)-SUM($W117:$W117)+1),))</f>
        <v>#VALUE!</v>
      </c>
      <c r="AB117" s="439" t="e">
        <f ca="1">(OFFSET($B$5,SUM($W$6:$W117),)-OFFSET($B$5,SUM($W$6:$W117)-1,))+(OFFSET($B$5,SUM($W$6:$W117)-2,)-OFFSET($B$5,SUM($W$6:$W117)-3,))+(OFFSET($B$5,SUM($W$6:$W117)-4,)-OFFSET($B$5,SUM($W$6:$W117)-5,))+(OFFSET($B$5,SUM($W$6:$W117)-6,)-OFFSET($B$5,SUM($W$6:$W117)-7,))+(OFFSET($B$5,SUM($W$6:$W117)-8,)-OFFSET($B$5,SUM($W$6:$W117)-9,))+(OFFSET($B$5,SUM($W$6:$W117)-10,)-OFFSET($B$5,SUM($W$6:$W117)-11,))</f>
        <v>#VALUE!</v>
      </c>
      <c r="AC117" s="439" t="e">
        <f ca="1">(OFFSET($B$5,SUM($W$6:$W117),)-OFFSET($B$5,SUM($W$6:$W117)-1,))+(OFFSET($B$5,SUM($W$6:$W117)-2,)-OFFSET($B$5,SUM($W$6:$W117)-3,))+(OFFSET($B$5,SUM($W$6:$W117)-4,)-OFFSET($B$5,SUM($W$6:$W117)-5,))+(OFFSET($B$5,SUM($W$6:$W117)-6,)-OFFSET($B$5,SUM($W$6:$W117)-7,))+(OFFSET($B$5,SUM($W$6:$W117)-8,)-OFFSET($B$5,SUM($W$6:$W117)-9,))</f>
        <v>#VALUE!</v>
      </c>
      <c r="AD117" s="439" t="e">
        <f ca="1">(OFFSET($B$5,SUM($W$6:$W117),)-OFFSET($B$5,SUM($W$6:$W117)-1,))+(OFFSET($B$5,SUM($W$6:$W117)-2,)-OFFSET($B$5,SUM($W$6:$W117)-3,))+(OFFSET($B$5,SUM($W$6:$W117)-4,)-OFFSET($B$5,SUM($W$6:$W117)-5,))+(OFFSET($B$5,SUM($W$6:$W117)-6,)-OFFSET($B$5,SUM($W$6:$W117)-7,))</f>
        <v>#VALUE!</v>
      </c>
      <c r="AE117" s="439" t="e">
        <f ca="1">(OFFSET($B$5,SUM($W$6:$W117),)-OFFSET($B$5,SUM($W$6:$W117)-1,))+(OFFSET($B$5,SUM($W$6:$W117)-2,)-OFFSET($B$5,SUM($W$6:$W117)-3,))+(OFFSET($B$5,SUM($W$6:$W117)-4,)-OFFSET($B$5,SUM($W$6:$W117)-5,))</f>
        <v>#VALUE!</v>
      </c>
      <c r="AF117" s="439" t="e">
        <f ca="1">(OFFSET($B$5,SUM($W$6:$W117),)-OFFSET($B$5,SUM($W$6:$W117)-1,))+(OFFSET($B$5,SUM($W$6:$W117)-2,)-OFFSET($B$5,SUM($W$6:$W117)-3,))</f>
        <v>#VALUE!</v>
      </c>
      <c r="AG117" s="439" t="e">
        <f ca="1">(OFFSET($B$5,SUM($W$6:$W117),)-OFFSET($B$5,SUM($W$6:$W117)-1,))</f>
        <v>#VALUE!</v>
      </c>
      <c r="AH117" s="439" t="e">
        <f ca="1">(OFFSET($B$5,SUM($W$6:$W117)-1,)-OFFSET($B$5,SUM($W$6:$W117)-2,))+(OFFSET($B$5,SUM($W$6:$W117)-3,)-OFFSET($B$5,SUM($W$6:$W117)-4,))+(OFFSET($B$5,SUM($W$6:$W117)-5,)-OFFSET($B$5,SUM($W$6:$W117)-6,))+(OFFSET($B$5,SUM($W$6:$W117)-7,)-OFFSET($B$5,SUM($W$6:$W117)-8,))+(OFFSET($B$5,SUM($W$6:$W117)-9,)-OFFSET($B$5,SUM($W$6:$W117)-10,))</f>
        <v>#REF!</v>
      </c>
      <c r="AI117" s="439" t="e">
        <f ca="1">(OFFSET($B$5,SUM($W$6:$W117)-1,)-OFFSET($B$5,SUM($W$6:$W117)-2,))+(OFFSET($B$5,SUM($W$6:$W117)-3,)-OFFSET($B$5,SUM($W$6:$W117)-4,))+(OFFSET($B$5,SUM($W$6:$W117)-5,)-OFFSET($B$5,SUM($W$6:$W117)-6,))+(OFFSET($B$5,SUM($W$6:$W117)-7,)-OFFSET($B$5,SUM($W$6:$W117)-8,))</f>
        <v>#REF!</v>
      </c>
      <c r="AJ117" s="439" t="e">
        <f ca="1">(OFFSET($B$5,SUM($W$6:$W117)-1,)-OFFSET($B$5,SUM($W$6:$W117)-2,))+(OFFSET($B$5,SUM($W$6:$W117)-3,)-OFFSET($B$5,SUM($W$6:$W117)-4,))+(OFFSET($B$5,SUM($W$6:$W117)-5,)-OFFSET($B$5,SUM($W$6:$W117)-6,))</f>
        <v>#REF!</v>
      </c>
      <c r="AK117" s="439">
        <f ca="1">(OFFSET($B$5,SUM($W$6:$W117)-1,)-OFFSET($B$5,SUM($W$6:$W117)-2,))+(OFFSET($B$5,SUM($W$6:$W117)-3,)-OFFSET($B$5,SUM($W$6:$W117)-4,))</f>
        <v>0</v>
      </c>
      <c r="AL117" s="439">
        <f ca="1">(OFFSET($B$5,SUM($W$6:$W117)-1,)-OFFSET($B$5,SUM($W$6:$W117)-2,))</f>
        <v>0</v>
      </c>
      <c r="AM117" s="433">
        <v>4.625</v>
      </c>
    </row>
    <row r="118" spans="6:39" x14ac:dyDescent="0.25">
      <c r="F118" s="374">
        <v>44489</v>
      </c>
      <c r="G118" s="370">
        <f t="shared" si="72"/>
        <v>44489</v>
      </c>
      <c r="H118" s="388">
        <f t="shared" si="79"/>
        <v>0</v>
      </c>
      <c r="I118" s="388">
        <f t="shared" ca="1" si="80"/>
        <v>-0.33333333333333331</v>
      </c>
      <c r="J118" s="386">
        <f ca="1">I118+J117</f>
        <v>-4.9999999999999991</v>
      </c>
      <c r="K118" s="164"/>
      <c r="L118" s="60"/>
      <c r="T118" s="438">
        <f t="shared" si="68"/>
        <v>0</v>
      </c>
      <c r="U118" s="439" t="b">
        <f t="shared" si="69"/>
        <v>0</v>
      </c>
      <c r="V118" s="440" t="b">
        <f t="shared" si="70"/>
        <v>0</v>
      </c>
      <c r="W118" s="437">
        <f t="shared" si="71"/>
        <v>0</v>
      </c>
      <c r="X118" s="439">
        <f t="shared" si="52"/>
        <v>0</v>
      </c>
      <c r="Y118" s="439">
        <f t="shared" si="53"/>
        <v>0</v>
      </c>
      <c r="Z118" s="439">
        <f t="shared" si="67"/>
        <v>0</v>
      </c>
      <c r="AA118" s="439" t="e">
        <f ca="1">(OFFSET($B$5,SUM($W$6:$W118),)-OFFSET($B$5,(SUM($W$6:$W118)-SUM($W118:$W118)+1),))</f>
        <v>#VALUE!</v>
      </c>
      <c r="AB118" s="439" t="e">
        <f ca="1">(OFFSET($B$5,SUM($W$6:$W118),)-OFFSET($B$5,SUM($W$6:$W118)-1,))+(OFFSET($B$5,SUM($W$6:$W118)-2,)-OFFSET($B$5,SUM($W$6:$W118)-3,))+(OFFSET($B$5,SUM($W$6:$W118)-4,)-OFFSET($B$5,SUM($W$6:$W118)-5,))+(OFFSET($B$5,SUM($W$6:$W118)-6,)-OFFSET($B$5,SUM($W$6:$W118)-7,))+(OFFSET($B$5,SUM($W$6:$W118)-8,)-OFFSET($B$5,SUM($W$6:$W118)-9,))+(OFFSET($B$5,SUM($W$6:$W118)-10,)-OFFSET($B$5,SUM($W$6:$W118)-11,))</f>
        <v>#VALUE!</v>
      </c>
      <c r="AC118" s="439" t="e">
        <f ca="1">(OFFSET($B$5,SUM($W$6:$W118),)-OFFSET($B$5,SUM($W$6:$W118)-1,))+(OFFSET($B$5,SUM($W$6:$W118)-2,)-OFFSET($B$5,SUM($W$6:$W118)-3,))+(OFFSET($B$5,SUM($W$6:$W118)-4,)-OFFSET($B$5,SUM($W$6:$W118)-5,))+(OFFSET($B$5,SUM($W$6:$W118)-6,)-OFFSET($B$5,SUM($W$6:$W118)-7,))+(OFFSET($B$5,SUM($W$6:$W118)-8,)-OFFSET($B$5,SUM($W$6:$W118)-9,))</f>
        <v>#VALUE!</v>
      </c>
      <c r="AD118" s="439" t="e">
        <f ca="1">(OFFSET($B$5,SUM($W$6:$W118),)-OFFSET($B$5,SUM($W$6:$W118)-1,))+(OFFSET($B$5,SUM($W$6:$W118)-2,)-OFFSET($B$5,SUM($W$6:$W118)-3,))+(OFFSET($B$5,SUM($W$6:$W118)-4,)-OFFSET($B$5,SUM($W$6:$W118)-5,))+(OFFSET($B$5,SUM($W$6:$W118)-6,)-OFFSET($B$5,SUM($W$6:$W118)-7,))</f>
        <v>#VALUE!</v>
      </c>
      <c r="AE118" s="439" t="e">
        <f ca="1">(OFFSET($B$5,SUM($W$6:$W118),)-OFFSET($B$5,SUM($W$6:$W118)-1,))+(OFFSET($B$5,SUM($W$6:$W118)-2,)-OFFSET($B$5,SUM($W$6:$W118)-3,))+(OFFSET($B$5,SUM($W$6:$W118)-4,)-OFFSET($B$5,SUM($W$6:$W118)-5,))</f>
        <v>#VALUE!</v>
      </c>
      <c r="AF118" s="439" t="e">
        <f ca="1">(OFFSET($B$5,SUM($W$6:$W118),)-OFFSET($B$5,SUM($W$6:$W118)-1,))+(OFFSET($B$5,SUM($W$6:$W118)-2,)-OFFSET($B$5,SUM($W$6:$W118)-3,))</f>
        <v>#VALUE!</v>
      </c>
      <c r="AG118" s="439" t="e">
        <f ca="1">(OFFSET($B$5,SUM($W$6:$W118),)-OFFSET($B$5,SUM($W$6:$W118)-1,))</f>
        <v>#VALUE!</v>
      </c>
      <c r="AH118" s="439" t="e">
        <f ca="1">(OFFSET($B$5,SUM($W$6:$W118)-1,)-OFFSET($B$5,SUM($W$6:$W118)-2,))+(OFFSET($B$5,SUM($W$6:$W118)-3,)-OFFSET($B$5,SUM($W$6:$W118)-4,))+(OFFSET($B$5,SUM($W$6:$W118)-5,)-OFFSET($B$5,SUM($W$6:$W118)-6,))+(OFFSET($B$5,SUM($W$6:$W118)-7,)-OFFSET($B$5,SUM($W$6:$W118)-8,))+(OFFSET($B$5,SUM($W$6:$W118)-9,)-OFFSET($B$5,SUM($W$6:$W118)-10,))</f>
        <v>#REF!</v>
      </c>
      <c r="AI118" s="439" t="e">
        <f ca="1">(OFFSET($B$5,SUM($W$6:$W118)-1,)-OFFSET($B$5,SUM($W$6:$W118)-2,))+(OFFSET($B$5,SUM($W$6:$W118)-3,)-OFFSET($B$5,SUM($W$6:$W118)-4,))+(OFFSET($B$5,SUM($W$6:$W118)-5,)-OFFSET($B$5,SUM($W$6:$W118)-6,))+(OFFSET($B$5,SUM($W$6:$W118)-7,)-OFFSET($B$5,SUM($W$6:$W118)-8,))</f>
        <v>#REF!</v>
      </c>
      <c r="AJ118" s="439" t="e">
        <f ca="1">(OFFSET($B$5,SUM($W$6:$W118)-1,)-OFFSET($B$5,SUM($W$6:$W118)-2,))+(OFFSET($B$5,SUM($W$6:$W118)-3,)-OFFSET($B$5,SUM($W$6:$W118)-4,))+(OFFSET($B$5,SUM($W$6:$W118)-5,)-OFFSET($B$5,SUM($W$6:$W118)-6,))</f>
        <v>#REF!</v>
      </c>
      <c r="AK118" s="439">
        <f ca="1">(OFFSET($B$5,SUM($W$6:$W118)-1,)-OFFSET($B$5,SUM($W$6:$W118)-2,))+(OFFSET($B$5,SUM($W$6:$W118)-3,)-OFFSET($B$5,SUM($W$6:$W118)-4,))</f>
        <v>0</v>
      </c>
      <c r="AL118" s="439">
        <f ca="1">(OFFSET($B$5,SUM($W$6:$W118)-1,)-OFFSET($B$5,SUM($W$6:$W118)-2,))</f>
        <v>0</v>
      </c>
      <c r="AM118" s="433">
        <v>4.6666666666666696</v>
      </c>
    </row>
    <row r="119" spans="6:39" x14ac:dyDescent="0.25">
      <c r="F119" s="374">
        <v>44490</v>
      </c>
      <c r="G119" s="370">
        <f t="shared" si="72"/>
        <v>44490</v>
      </c>
      <c r="H119" s="388">
        <f t="shared" si="79"/>
        <v>0</v>
      </c>
      <c r="I119" s="388">
        <f t="shared" ca="1" si="80"/>
        <v>-0.33333333333333331</v>
      </c>
      <c r="J119" s="386">
        <f t="shared" ref="J119:J121" ca="1" si="81">I119+J118</f>
        <v>-5.3333333333333321</v>
      </c>
      <c r="K119" s="164"/>
      <c r="L119" s="60"/>
      <c r="T119" s="438">
        <f t="shared" si="68"/>
        <v>0</v>
      </c>
      <c r="U119" s="439" t="b">
        <f t="shared" si="69"/>
        <v>0</v>
      </c>
      <c r="V119" s="440" t="b">
        <f t="shared" si="70"/>
        <v>0</v>
      </c>
      <c r="W119" s="437">
        <f t="shared" si="71"/>
        <v>0</v>
      </c>
      <c r="X119" s="439">
        <f t="shared" si="52"/>
        <v>0</v>
      </c>
      <c r="Y119" s="439">
        <f t="shared" si="53"/>
        <v>0</v>
      </c>
      <c r="Z119" s="439">
        <f t="shared" si="67"/>
        <v>0</v>
      </c>
      <c r="AA119" s="439" t="e">
        <f ca="1">(OFFSET($B$5,SUM($W$6:$W119),)-OFFSET($B$5,(SUM($W$6:$W119)-SUM($W119:$W119)+1),))</f>
        <v>#VALUE!</v>
      </c>
      <c r="AB119" s="439" t="e">
        <f ca="1">(OFFSET($B$5,SUM($W$6:$W119),)-OFFSET($B$5,SUM($W$6:$W119)-1,))+(OFFSET($B$5,SUM($W$6:$W119)-2,)-OFFSET($B$5,SUM($W$6:$W119)-3,))+(OFFSET($B$5,SUM($W$6:$W119)-4,)-OFFSET($B$5,SUM($W$6:$W119)-5,))+(OFFSET($B$5,SUM($W$6:$W119)-6,)-OFFSET($B$5,SUM($W$6:$W119)-7,))+(OFFSET($B$5,SUM($W$6:$W119)-8,)-OFFSET($B$5,SUM($W$6:$W119)-9,))+(OFFSET($B$5,SUM($W$6:$W119)-10,)-OFFSET($B$5,SUM($W$6:$W119)-11,))</f>
        <v>#VALUE!</v>
      </c>
      <c r="AC119" s="439" t="e">
        <f ca="1">(OFFSET($B$5,SUM($W$6:$W119),)-OFFSET($B$5,SUM($W$6:$W119)-1,))+(OFFSET($B$5,SUM($W$6:$W119)-2,)-OFFSET($B$5,SUM($W$6:$W119)-3,))+(OFFSET($B$5,SUM($W$6:$W119)-4,)-OFFSET($B$5,SUM($W$6:$W119)-5,))+(OFFSET($B$5,SUM($W$6:$W119)-6,)-OFFSET($B$5,SUM($W$6:$W119)-7,))+(OFFSET($B$5,SUM($W$6:$W119)-8,)-OFFSET($B$5,SUM($W$6:$W119)-9,))</f>
        <v>#VALUE!</v>
      </c>
      <c r="AD119" s="439" t="e">
        <f ca="1">(OFFSET($B$5,SUM($W$6:$W119),)-OFFSET($B$5,SUM($W$6:$W119)-1,))+(OFFSET($B$5,SUM($W$6:$W119)-2,)-OFFSET($B$5,SUM($W$6:$W119)-3,))+(OFFSET($B$5,SUM($W$6:$W119)-4,)-OFFSET($B$5,SUM($W$6:$W119)-5,))+(OFFSET($B$5,SUM($W$6:$W119)-6,)-OFFSET($B$5,SUM($W$6:$W119)-7,))</f>
        <v>#VALUE!</v>
      </c>
      <c r="AE119" s="439" t="e">
        <f ca="1">(OFFSET($B$5,SUM($W$6:$W119),)-OFFSET($B$5,SUM($W$6:$W119)-1,))+(OFFSET($B$5,SUM($W$6:$W119)-2,)-OFFSET($B$5,SUM($W$6:$W119)-3,))+(OFFSET($B$5,SUM($W$6:$W119)-4,)-OFFSET($B$5,SUM($W$6:$W119)-5,))</f>
        <v>#VALUE!</v>
      </c>
      <c r="AF119" s="439" t="e">
        <f ca="1">(OFFSET($B$5,SUM($W$6:$W119),)-OFFSET($B$5,SUM($W$6:$W119)-1,))+(OFFSET($B$5,SUM($W$6:$W119)-2,)-OFFSET($B$5,SUM($W$6:$W119)-3,))</f>
        <v>#VALUE!</v>
      </c>
      <c r="AG119" s="439" t="e">
        <f ca="1">(OFFSET($B$5,SUM($W$6:$W119),)-OFFSET($B$5,SUM($W$6:$W119)-1,))</f>
        <v>#VALUE!</v>
      </c>
      <c r="AH119" s="439" t="e">
        <f ca="1">(OFFSET($B$5,SUM($W$6:$W119)-1,)-OFFSET($B$5,SUM($W$6:$W119)-2,))+(OFFSET($B$5,SUM($W$6:$W119)-3,)-OFFSET($B$5,SUM($W$6:$W119)-4,))+(OFFSET($B$5,SUM($W$6:$W119)-5,)-OFFSET($B$5,SUM($W$6:$W119)-6,))+(OFFSET($B$5,SUM($W$6:$W119)-7,)-OFFSET($B$5,SUM($W$6:$W119)-8,))+(OFFSET($B$5,SUM($W$6:$W119)-9,)-OFFSET($B$5,SUM($W$6:$W119)-10,))</f>
        <v>#REF!</v>
      </c>
      <c r="AI119" s="439" t="e">
        <f ca="1">(OFFSET($B$5,SUM($W$6:$W119)-1,)-OFFSET($B$5,SUM($W$6:$W119)-2,))+(OFFSET($B$5,SUM($W$6:$W119)-3,)-OFFSET($B$5,SUM($W$6:$W119)-4,))+(OFFSET($B$5,SUM($W$6:$W119)-5,)-OFFSET($B$5,SUM($W$6:$W119)-6,))+(OFFSET($B$5,SUM($W$6:$W119)-7,)-OFFSET($B$5,SUM($W$6:$W119)-8,))</f>
        <v>#REF!</v>
      </c>
      <c r="AJ119" s="439" t="e">
        <f ca="1">(OFFSET($B$5,SUM($W$6:$W119)-1,)-OFFSET($B$5,SUM($W$6:$W119)-2,))+(OFFSET($B$5,SUM($W$6:$W119)-3,)-OFFSET($B$5,SUM($W$6:$W119)-4,))+(OFFSET($B$5,SUM($W$6:$W119)-5,)-OFFSET($B$5,SUM($W$6:$W119)-6,))</f>
        <v>#REF!</v>
      </c>
      <c r="AK119" s="439">
        <f ca="1">(OFFSET($B$5,SUM($W$6:$W119)-1,)-OFFSET($B$5,SUM($W$6:$W119)-2,))+(OFFSET($B$5,SUM($W$6:$W119)-3,)-OFFSET($B$5,SUM($W$6:$W119)-4,))</f>
        <v>0</v>
      </c>
      <c r="AL119" s="439">
        <f ca="1">(OFFSET($B$5,SUM($W$6:$W119)-1,)-OFFSET($B$5,SUM($W$6:$W119)-2,))</f>
        <v>0</v>
      </c>
      <c r="AM119" s="433">
        <v>4.7083333333333304</v>
      </c>
    </row>
    <row r="120" spans="6:39" x14ac:dyDescent="0.25">
      <c r="F120" s="374">
        <v>44491</v>
      </c>
      <c r="G120" s="370">
        <f t="shared" si="72"/>
        <v>44491</v>
      </c>
      <c r="H120" s="388">
        <f t="shared" si="79"/>
        <v>0</v>
      </c>
      <c r="I120" s="388">
        <f t="shared" ca="1" si="80"/>
        <v>-0.33333333333333331</v>
      </c>
      <c r="J120" s="386">
        <f t="shared" ca="1" si="81"/>
        <v>-5.6666666666666652</v>
      </c>
      <c r="K120" s="164"/>
      <c r="L120" s="60"/>
      <c r="T120" s="438">
        <f t="shared" si="68"/>
        <v>0</v>
      </c>
      <c r="U120" s="439" t="b">
        <f t="shared" si="69"/>
        <v>0</v>
      </c>
      <c r="V120" s="440" t="b">
        <f t="shared" si="70"/>
        <v>0</v>
      </c>
      <c r="W120" s="437">
        <f t="shared" si="71"/>
        <v>0</v>
      </c>
      <c r="X120" s="439">
        <f t="shared" si="52"/>
        <v>0</v>
      </c>
      <c r="Y120" s="439">
        <f t="shared" si="53"/>
        <v>0</v>
      </c>
      <c r="Z120" s="439">
        <f t="shared" si="67"/>
        <v>0</v>
      </c>
      <c r="AA120" s="439" t="e">
        <f ca="1">(OFFSET($B$5,SUM($W$6:$W120),)-OFFSET($B$5,(SUM($W$6:$W120)-SUM($W120:$W120)+1),))</f>
        <v>#VALUE!</v>
      </c>
      <c r="AB120" s="439" t="e">
        <f ca="1">(OFFSET($B$5,SUM($W$6:$W120),)-OFFSET($B$5,SUM($W$6:$W120)-1,))+(OFFSET($B$5,SUM($W$6:$W120)-2,)-OFFSET($B$5,SUM($W$6:$W120)-3,))+(OFFSET($B$5,SUM($W$6:$W120)-4,)-OFFSET($B$5,SUM($W$6:$W120)-5,))+(OFFSET($B$5,SUM($W$6:$W120)-6,)-OFFSET($B$5,SUM($W$6:$W120)-7,))+(OFFSET($B$5,SUM($W$6:$W120)-8,)-OFFSET($B$5,SUM($W$6:$W120)-9,))+(OFFSET($B$5,SUM($W$6:$W120)-10,)-OFFSET($B$5,SUM($W$6:$W120)-11,))</f>
        <v>#VALUE!</v>
      </c>
      <c r="AC120" s="439" t="e">
        <f ca="1">(OFFSET($B$5,SUM($W$6:$W120),)-OFFSET($B$5,SUM($W$6:$W120)-1,))+(OFFSET($B$5,SUM($W$6:$W120)-2,)-OFFSET($B$5,SUM($W$6:$W120)-3,))+(OFFSET($B$5,SUM($W$6:$W120)-4,)-OFFSET($B$5,SUM($W$6:$W120)-5,))+(OFFSET($B$5,SUM($W$6:$W120)-6,)-OFFSET($B$5,SUM($W$6:$W120)-7,))+(OFFSET($B$5,SUM($W$6:$W120)-8,)-OFFSET($B$5,SUM($W$6:$W120)-9,))</f>
        <v>#VALUE!</v>
      </c>
      <c r="AD120" s="439" t="e">
        <f ca="1">(OFFSET($B$5,SUM($W$6:$W120),)-OFFSET($B$5,SUM($W$6:$W120)-1,))+(OFFSET($B$5,SUM($W$6:$W120)-2,)-OFFSET($B$5,SUM($W$6:$W120)-3,))+(OFFSET($B$5,SUM($W$6:$W120)-4,)-OFFSET($B$5,SUM($W$6:$W120)-5,))+(OFFSET($B$5,SUM($W$6:$W120)-6,)-OFFSET($B$5,SUM($W$6:$W120)-7,))</f>
        <v>#VALUE!</v>
      </c>
      <c r="AE120" s="439" t="e">
        <f ca="1">(OFFSET($B$5,SUM($W$6:$W120),)-OFFSET($B$5,SUM($W$6:$W120)-1,))+(OFFSET($B$5,SUM($W$6:$W120)-2,)-OFFSET($B$5,SUM($W$6:$W120)-3,))+(OFFSET($B$5,SUM($W$6:$W120)-4,)-OFFSET($B$5,SUM($W$6:$W120)-5,))</f>
        <v>#VALUE!</v>
      </c>
      <c r="AF120" s="439" t="e">
        <f ca="1">(OFFSET($B$5,SUM($W$6:$W120),)-OFFSET($B$5,SUM($W$6:$W120)-1,))+(OFFSET($B$5,SUM($W$6:$W120)-2,)-OFFSET($B$5,SUM($W$6:$W120)-3,))</f>
        <v>#VALUE!</v>
      </c>
      <c r="AG120" s="439" t="e">
        <f ca="1">(OFFSET($B$5,SUM($W$6:$W120),)-OFFSET($B$5,SUM($W$6:$W120)-1,))</f>
        <v>#VALUE!</v>
      </c>
      <c r="AH120" s="439" t="e">
        <f ca="1">(OFFSET($B$5,SUM($W$6:$W120)-1,)-OFFSET($B$5,SUM($W$6:$W120)-2,))+(OFFSET($B$5,SUM($W$6:$W120)-3,)-OFFSET($B$5,SUM($W$6:$W120)-4,))+(OFFSET($B$5,SUM($W$6:$W120)-5,)-OFFSET($B$5,SUM($W$6:$W120)-6,))+(OFFSET($B$5,SUM($W$6:$W120)-7,)-OFFSET($B$5,SUM($W$6:$W120)-8,))+(OFFSET($B$5,SUM($W$6:$W120)-9,)-OFFSET($B$5,SUM($W$6:$W120)-10,))</f>
        <v>#REF!</v>
      </c>
      <c r="AI120" s="439" t="e">
        <f ca="1">(OFFSET($B$5,SUM($W$6:$W120)-1,)-OFFSET($B$5,SUM($W$6:$W120)-2,))+(OFFSET($B$5,SUM($W$6:$W120)-3,)-OFFSET($B$5,SUM($W$6:$W120)-4,))+(OFFSET($B$5,SUM($W$6:$W120)-5,)-OFFSET($B$5,SUM($W$6:$W120)-6,))+(OFFSET($B$5,SUM($W$6:$W120)-7,)-OFFSET($B$5,SUM($W$6:$W120)-8,))</f>
        <v>#REF!</v>
      </c>
      <c r="AJ120" s="439" t="e">
        <f ca="1">(OFFSET($B$5,SUM($W$6:$W120)-1,)-OFFSET($B$5,SUM($W$6:$W120)-2,))+(OFFSET($B$5,SUM($W$6:$W120)-3,)-OFFSET($B$5,SUM($W$6:$W120)-4,))+(OFFSET($B$5,SUM($W$6:$W120)-5,)-OFFSET($B$5,SUM($W$6:$W120)-6,))</f>
        <v>#REF!</v>
      </c>
      <c r="AK120" s="439">
        <f ca="1">(OFFSET($B$5,SUM($W$6:$W120)-1,)-OFFSET($B$5,SUM($W$6:$W120)-2,))+(OFFSET($B$5,SUM($W$6:$W120)-3,)-OFFSET($B$5,SUM($W$6:$W120)-4,))</f>
        <v>0</v>
      </c>
      <c r="AL120" s="439">
        <f ca="1">(OFFSET($B$5,SUM($W$6:$W120)-1,)-OFFSET($B$5,SUM($W$6:$W120)-2,))</f>
        <v>0</v>
      </c>
      <c r="AM120" s="433">
        <v>4.75</v>
      </c>
    </row>
    <row r="121" spans="6:39" x14ac:dyDescent="0.25">
      <c r="F121" s="374">
        <v>44492</v>
      </c>
      <c r="G121" s="370">
        <f t="shared" si="72"/>
        <v>44492</v>
      </c>
      <c r="H121" s="388">
        <f t="shared" si="79"/>
        <v>0</v>
      </c>
      <c r="I121" s="388">
        <f t="shared" ca="1" si="80"/>
        <v>-0.33333333333333331</v>
      </c>
      <c r="J121" s="386">
        <f t="shared" ca="1" si="81"/>
        <v>-5.9999999999999982</v>
      </c>
      <c r="K121" s="164"/>
      <c r="L121" s="60"/>
      <c r="T121" s="438">
        <f t="shared" si="68"/>
        <v>0</v>
      </c>
      <c r="U121" s="439" t="b">
        <f t="shared" si="69"/>
        <v>0</v>
      </c>
      <c r="V121" s="440" t="b">
        <f t="shared" si="70"/>
        <v>0</v>
      </c>
      <c r="W121" s="437">
        <f t="shared" si="71"/>
        <v>0</v>
      </c>
      <c r="X121" s="439">
        <f t="shared" si="52"/>
        <v>0</v>
      </c>
      <c r="Y121" s="439">
        <f t="shared" si="53"/>
        <v>0</v>
      </c>
      <c r="Z121" s="439">
        <f t="shared" si="67"/>
        <v>0</v>
      </c>
      <c r="AA121" s="439" t="e">
        <f ca="1">(OFFSET($B$5,SUM($W$6:$W121),)-OFFSET($B$5,(SUM($W$6:$W121)-SUM($W121:$W121)+1),))</f>
        <v>#VALUE!</v>
      </c>
      <c r="AB121" s="439" t="e">
        <f ca="1">(OFFSET($B$5,SUM($W$6:$W121),)-OFFSET($B$5,SUM($W$6:$W121)-1,))+(OFFSET($B$5,SUM($W$6:$W121)-2,)-OFFSET($B$5,SUM($W$6:$W121)-3,))+(OFFSET($B$5,SUM($W$6:$W121)-4,)-OFFSET($B$5,SUM($W$6:$W121)-5,))+(OFFSET($B$5,SUM($W$6:$W121)-6,)-OFFSET($B$5,SUM($W$6:$W121)-7,))+(OFFSET($B$5,SUM($W$6:$W121)-8,)-OFFSET($B$5,SUM($W$6:$W121)-9,))+(OFFSET($B$5,SUM($W$6:$W121)-10,)-OFFSET($B$5,SUM($W$6:$W121)-11,))</f>
        <v>#VALUE!</v>
      </c>
      <c r="AC121" s="439" t="e">
        <f ca="1">(OFFSET($B$5,SUM($W$6:$W121),)-OFFSET($B$5,SUM($W$6:$W121)-1,))+(OFFSET($B$5,SUM($W$6:$W121)-2,)-OFFSET($B$5,SUM($W$6:$W121)-3,))+(OFFSET($B$5,SUM($W$6:$W121)-4,)-OFFSET($B$5,SUM($W$6:$W121)-5,))+(OFFSET($B$5,SUM($W$6:$W121)-6,)-OFFSET($B$5,SUM($W$6:$W121)-7,))+(OFFSET($B$5,SUM($W$6:$W121)-8,)-OFFSET($B$5,SUM($W$6:$W121)-9,))</f>
        <v>#VALUE!</v>
      </c>
      <c r="AD121" s="439" t="e">
        <f ca="1">(OFFSET($B$5,SUM($W$6:$W121),)-OFFSET($B$5,SUM($W$6:$W121)-1,))+(OFFSET($B$5,SUM($W$6:$W121)-2,)-OFFSET($B$5,SUM($W$6:$W121)-3,))+(OFFSET($B$5,SUM($W$6:$W121)-4,)-OFFSET($B$5,SUM($W$6:$W121)-5,))+(OFFSET($B$5,SUM($W$6:$W121)-6,)-OFFSET($B$5,SUM($W$6:$W121)-7,))</f>
        <v>#VALUE!</v>
      </c>
      <c r="AE121" s="439" t="e">
        <f ca="1">(OFFSET($B$5,SUM($W$6:$W121),)-OFFSET($B$5,SUM($W$6:$W121)-1,))+(OFFSET($B$5,SUM($W$6:$W121)-2,)-OFFSET($B$5,SUM($W$6:$W121)-3,))+(OFFSET($B$5,SUM($W$6:$W121)-4,)-OFFSET($B$5,SUM($W$6:$W121)-5,))</f>
        <v>#VALUE!</v>
      </c>
      <c r="AF121" s="439" t="e">
        <f ca="1">(OFFSET($B$5,SUM($W$6:$W121),)-OFFSET($B$5,SUM($W$6:$W121)-1,))+(OFFSET($B$5,SUM($W$6:$W121)-2,)-OFFSET($B$5,SUM($W$6:$W121)-3,))</f>
        <v>#VALUE!</v>
      </c>
      <c r="AG121" s="439" t="e">
        <f ca="1">(OFFSET($B$5,SUM($W$6:$W121),)-OFFSET($B$5,SUM($W$6:$W121)-1,))</f>
        <v>#VALUE!</v>
      </c>
      <c r="AH121" s="439" t="e">
        <f ca="1">(OFFSET($B$5,SUM($W$6:$W121)-1,)-OFFSET($B$5,SUM($W$6:$W121)-2,))+(OFFSET($B$5,SUM($W$6:$W121)-3,)-OFFSET($B$5,SUM($W$6:$W121)-4,))+(OFFSET($B$5,SUM($W$6:$W121)-5,)-OFFSET($B$5,SUM($W$6:$W121)-6,))+(OFFSET($B$5,SUM($W$6:$W121)-7,)-OFFSET($B$5,SUM($W$6:$W121)-8,))+(OFFSET($B$5,SUM($W$6:$W121)-9,)-OFFSET($B$5,SUM($W$6:$W121)-10,))</f>
        <v>#REF!</v>
      </c>
      <c r="AI121" s="439" t="e">
        <f ca="1">(OFFSET($B$5,SUM($W$6:$W121)-1,)-OFFSET($B$5,SUM($W$6:$W121)-2,))+(OFFSET($B$5,SUM($W$6:$W121)-3,)-OFFSET($B$5,SUM($W$6:$W121)-4,))+(OFFSET($B$5,SUM($W$6:$W121)-5,)-OFFSET($B$5,SUM($W$6:$W121)-6,))+(OFFSET($B$5,SUM($W$6:$W121)-7,)-OFFSET($B$5,SUM($W$6:$W121)-8,))</f>
        <v>#REF!</v>
      </c>
      <c r="AJ121" s="439" t="e">
        <f ca="1">(OFFSET($B$5,SUM($W$6:$W121)-1,)-OFFSET($B$5,SUM($W$6:$W121)-2,))+(OFFSET($B$5,SUM($W$6:$W121)-3,)-OFFSET($B$5,SUM($W$6:$W121)-4,))+(OFFSET($B$5,SUM($W$6:$W121)-5,)-OFFSET($B$5,SUM($W$6:$W121)-6,))</f>
        <v>#REF!</v>
      </c>
      <c r="AK121" s="439">
        <f ca="1">(OFFSET($B$5,SUM($W$6:$W121)-1,)-OFFSET($B$5,SUM($W$6:$W121)-2,))+(OFFSET($B$5,SUM($W$6:$W121)-3,)-OFFSET($B$5,SUM($W$6:$W121)-4,))</f>
        <v>0</v>
      </c>
      <c r="AL121" s="439">
        <f ca="1">(OFFSET($B$5,SUM($W$6:$W121)-1,)-OFFSET($B$5,SUM($W$6:$W121)-2,))</f>
        <v>0</v>
      </c>
      <c r="AM121" s="433">
        <v>4.7916666666666696</v>
      </c>
    </row>
    <row r="122" spans="6:39" x14ac:dyDescent="0.25">
      <c r="F122" s="374">
        <v>44493</v>
      </c>
      <c r="G122" s="404">
        <f t="shared" si="72"/>
        <v>44493</v>
      </c>
      <c r="H122" s="389"/>
      <c r="I122" s="389"/>
      <c r="J122" s="389"/>
      <c r="K122" s="164"/>
      <c r="L122" s="60"/>
      <c r="T122" s="438">
        <f t="shared" si="68"/>
        <v>0</v>
      </c>
      <c r="U122" s="439" t="b">
        <f t="shared" si="69"/>
        <v>0</v>
      </c>
      <c r="V122" s="440" t="b">
        <f t="shared" si="70"/>
        <v>0</v>
      </c>
      <c r="W122" s="437">
        <f t="shared" si="71"/>
        <v>0</v>
      </c>
      <c r="X122" s="439">
        <f t="shared" si="52"/>
        <v>0</v>
      </c>
      <c r="Y122" s="439">
        <f t="shared" si="53"/>
        <v>0</v>
      </c>
      <c r="Z122" s="439">
        <f t="shared" si="67"/>
        <v>0</v>
      </c>
      <c r="AA122" s="439" t="e">
        <f ca="1">(OFFSET($B$5,SUM($W$6:$W122),)-OFFSET($B$5,(SUM($W$6:$W122)-SUM($W122:$W122)+1),))</f>
        <v>#VALUE!</v>
      </c>
      <c r="AB122" s="439" t="e">
        <f ca="1">(OFFSET($B$5,SUM($W$6:$W122),)-OFFSET($B$5,SUM($W$6:$W122)-1,))+(OFFSET($B$5,SUM($W$6:$W122)-2,)-OFFSET($B$5,SUM($W$6:$W122)-3,))+(OFFSET($B$5,SUM($W$6:$W122)-4,)-OFFSET($B$5,SUM($W$6:$W122)-5,))+(OFFSET($B$5,SUM($W$6:$W122)-6,)-OFFSET($B$5,SUM($W$6:$W122)-7,))+(OFFSET($B$5,SUM($W$6:$W122)-8,)-OFFSET($B$5,SUM($W$6:$W122)-9,))+(OFFSET($B$5,SUM($W$6:$W122)-10,)-OFFSET($B$5,SUM($W$6:$W122)-11,))</f>
        <v>#VALUE!</v>
      </c>
      <c r="AC122" s="439" t="e">
        <f ca="1">(OFFSET($B$5,SUM($W$6:$W122),)-OFFSET($B$5,SUM($W$6:$W122)-1,))+(OFFSET($B$5,SUM($W$6:$W122)-2,)-OFFSET($B$5,SUM($W$6:$W122)-3,))+(OFFSET($B$5,SUM($W$6:$W122)-4,)-OFFSET($B$5,SUM($W$6:$W122)-5,))+(OFFSET($B$5,SUM($W$6:$W122)-6,)-OFFSET($B$5,SUM($W$6:$W122)-7,))+(OFFSET($B$5,SUM($W$6:$W122)-8,)-OFFSET($B$5,SUM($W$6:$W122)-9,))</f>
        <v>#VALUE!</v>
      </c>
      <c r="AD122" s="439" t="e">
        <f ca="1">(OFFSET($B$5,SUM($W$6:$W122),)-OFFSET($B$5,SUM($W$6:$W122)-1,))+(OFFSET($B$5,SUM($W$6:$W122)-2,)-OFFSET($B$5,SUM($W$6:$W122)-3,))+(OFFSET($B$5,SUM($W$6:$W122)-4,)-OFFSET($B$5,SUM($W$6:$W122)-5,))+(OFFSET($B$5,SUM($W$6:$W122)-6,)-OFFSET($B$5,SUM($W$6:$W122)-7,))</f>
        <v>#VALUE!</v>
      </c>
      <c r="AE122" s="439" t="e">
        <f ca="1">(OFFSET($B$5,SUM($W$6:$W122),)-OFFSET($B$5,SUM($W$6:$W122)-1,))+(OFFSET($B$5,SUM($W$6:$W122)-2,)-OFFSET($B$5,SUM($W$6:$W122)-3,))+(OFFSET($B$5,SUM($W$6:$W122)-4,)-OFFSET($B$5,SUM($W$6:$W122)-5,))</f>
        <v>#VALUE!</v>
      </c>
      <c r="AF122" s="439" t="e">
        <f ca="1">(OFFSET($B$5,SUM($W$6:$W122),)-OFFSET($B$5,SUM($W$6:$W122)-1,))+(OFFSET($B$5,SUM($W$6:$W122)-2,)-OFFSET($B$5,SUM($W$6:$W122)-3,))</f>
        <v>#VALUE!</v>
      </c>
      <c r="AG122" s="439" t="e">
        <f ca="1">(OFFSET($B$5,SUM($W$6:$W122),)-OFFSET($B$5,SUM($W$6:$W122)-1,))</f>
        <v>#VALUE!</v>
      </c>
      <c r="AH122" s="439" t="e">
        <f ca="1">(OFFSET($B$5,SUM($W$6:$W122)-1,)-OFFSET($B$5,SUM($W$6:$W122)-2,))+(OFFSET($B$5,SUM($W$6:$W122)-3,)-OFFSET($B$5,SUM($W$6:$W122)-4,))+(OFFSET($B$5,SUM($W$6:$W122)-5,)-OFFSET($B$5,SUM($W$6:$W122)-6,))+(OFFSET($B$5,SUM($W$6:$W122)-7,)-OFFSET($B$5,SUM($W$6:$W122)-8,))+(OFFSET($B$5,SUM($W$6:$W122)-9,)-OFFSET($B$5,SUM($W$6:$W122)-10,))</f>
        <v>#REF!</v>
      </c>
      <c r="AI122" s="439" t="e">
        <f ca="1">(OFFSET($B$5,SUM($W$6:$W122)-1,)-OFFSET($B$5,SUM($W$6:$W122)-2,))+(OFFSET($B$5,SUM($W$6:$W122)-3,)-OFFSET($B$5,SUM($W$6:$W122)-4,))+(OFFSET($B$5,SUM($W$6:$W122)-5,)-OFFSET($B$5,SUM($W$6:$W122)-6,))+(OFFSET($B$5,SUM($W$6:$W122)-7,)-OFFSET($B$5,SUM($W$6:$W122)-8,))</f>
        <v>#REF!</v>
      </c>
      <c r="AJ122" s="439" t="e">
        <f ca="1">(OFFSET($B$5,SUM($W$6:$W122)-1,)-OFFSET($B$5,SUM($W$6:$W122)-2,))+(OFFSET($B$5,SUM($W$6:$W122)-3,)-OFFSET($B$5,SUM($W$6:$W122)-4,))+(OFFSET($B$5,SUM($W$6:$W122)-5,)-OFFSET($B$5,SUM($W$6:$W122)-6,))</f>
        <v>#REF!</v>
      </c>
      <c r="AK122" s="439">
        <f ca="1">(OFFSET($B$5,SUM($W$6:$W122)-1,)-OFFSET($B$5,SUM($W$6:$W122)-2,))+(OFFSET($B$5,SUM($W$6:$W122)-3,)-OFFSET($B$5,SUM($W$6:$W122)-4,))</f>
        <v>0</v>
      </c>
      <c r="AL122" s="439">
        <f ca="1">(OFFSET($B$5,SUM($W$6:$W122)-1,)-OFFSET($B$5,SUM($W$6:$W122)-2,))</f>
        <v>0</v>
      </c>
      <c r="AM122" s="433">
        <v>4.8333333333333304</v>
      </c>
    </row>
    <row r="123" spans="6:39" x14ac:dyDescent="0.25">
      <c r="F123" s="374">
        <v>44494</v>
      </c>
      <c r="G123" s="404">
        <f t="shared" si="72"/>
        <v>44494</v>
      </c>
      <c r="H123" s="389"/>
      <c r="I123" s="389"/>
      <c r="J123" s="389"/>
      <c r="K123" s="164"/>
      <c r="L123" s="60"/>
      <c r="T123" s="438">
        <f t="shared" si="68"/>
        <v>0</v>
      </c>
      <c r="U123" s="439" t="b">
        <f t="shared" si="69"/>
        <v>0</v>
      </c>
      <c r="V123" s="440" t="b">
        <f t="shared" si="70"/>
        <v>0</v>
      </c>
      <c r="W123" s="437">
        <f t="shared" si="71"/>
        <v>0</v>
      </c>
      <c r="X123" s="439">
        <f t="shared" si="52"/>
        <v>0</v>
      </c>
      <c r="Y123" s="439">
        <f t="shared" si="53"/>
        <v>0</v>
      </c>
      <c r="Z123" s="439">
        <f t="shared" si="67"/>
        <v>0</v>
      </c>
      <c r="AA123" s="439" t="e">
        <f ca="1">(OFFSET($B$5,SUM($W$6:$W123),)-OFFSET($B$5,(SUM($W$6:$W123)-SUM($W123:$W123)+1),))</f>
        <v>#VALUE!</v>
      </c>
      <c r="AB123" s="439" t="e">
        <f ca="1">(OFFSET($B$5,SUM($W$6:$W123),)-OFFSET($B$5,SUM($W$6:$W123)-1,))+(OFFSET($B$5,SUM($W$6:$W123)-2,)-OFFSET($B$5,SUM($W$6:$W123)-3,))+(OFFSET($B$5,SUM($W$6:$W123)-4,)-OFFSET($B$5,SUM($W$6:$W123)-5,))+(OFFSET($B$5,SUM($W$6:$W123)-6,)-OFFSET($B$5,SUM($W$6:$W123)-7,))+(OFFSET($B$5,SUM($W$6:$W123)-8,)-OFFSET($B$5,SUM($W$6:$W123)-9,))+(OFFSET($B$5,SUM($W$6:$W123)-10,)-OFFSET($B$5,SUM($W$6:$W123)-11,))</f>
        <v>#VALUE!</v>
      </c>
      <c r="AC123" s="439" t="e">
        <f ca="1">(OFFSET($B$5,SUM($W$6:$W123),)-OFFSET($B$5,SUM($W$6:$W123)-1,))+(OFFSET($B$5,SUM($W$6:$W123)-2,)-OFFSET($B$5,SUM($W$6:$W123)-3,))+(OFFSET($B$5,SUM($W$6:$W123)-4,)-OFFSET($B$5,SUM($W$6:$W123)-5,))+(OFFSET($B$5,SUM($W$6:$W123)-6,)-OFFSET($B$5,SUM($W$6:$W123)-7,))+(OFFSET($B$5,SUM($W$6:$W123)-8,)-OFFSET($B$5,SUM($W$6:$W123)-9,))</f>
        <v>#VALUE!</v>
      </c>
      <c r="AD123" s="439" t="e">
        <f ca="1">(OFFSET($B$5,SUM($W$6:$W123),)-OFFSET($B$5,SUM($W$6:$W123)-1,))+(OFFSET($B$5,SUM($W$6:$W123)-2,)-OFFSET($B$5,SUM($W$6:$W123)-3,))+(OFFSET($B$5,SUM($W$6:$W123)-4,)-OFFSET($B$5,SUM($W$6:$W123)-5,))+(OFFSET($B$5,SUM($W$6:$W123)-6,)-OFFSET($B$5,SUM($W$6:$W123)-7,))</f>
        <v>#VALUE!</v>
      </c>
      <c r="AE123" s="439" t="e">
        <f ca="1">(OFFSET($B$5,SUM($W$6:$W123),)-OFFSET($B$5,SUM($W$6:$W123)-1,))+(OFFSET($B$5,SUM($W$6:$W123)-2,)-OFFSET($B$5,SUM($W$6:$W123)-3,))+(OFFSET($B$5,SUM($W$6:$W123)-4,)-OFFSET($B$5,SUM($W$6:$W123)-5,))</f>
        <v>#VALUE!</v>
      </c>
      <c r="AF123" s="439" t="e">
        <f ca="1">(OFFSET($B$5,SUM($W$6:$W123),)-OFFSET($B$5,SUM($W$6:$W123)-1,))+(OFFSET($B$5,SUM($W$6:$W123)-2,)-OFFSET($B$5,SUM($W$6:$W123)-3,))</f>
        <v>#VALUE!</v>
      </c>
      <c r="AG123" s="439" t="e">
        <f ca="1">(OFFSET($B$5,SUM($W$6:$W123),)-OFFSET($B$5,SUM($W$6:$W123)-1,))</f>
        <v>#VALUE!</v>
      </c>
      <c r="AH123" s="439" t="e">
        <f ca="1">(OFFSET($B$5,SUM($W$6:$W123)-1,)-OFFSET($B$5,SUM($W$6:$W123)-2,))+(OFFSET($B$5,SUM($W$6:$W123)-3,)-OFFSET($B$5,SUM($W$6:$W123)-4,))+(OFFSET($B$5,SUM($W$6:$W123)-5,)-OFFSET($B$5,SUM($W$6:$W123)-6,))+(OFFSET($B$5,SUM($W$6:$W123)-7,)-OFFSET($B$5,SUM($W$6:$W123)-8,))+(OFFSET($B$5,SUM($W$6:$W123)-9,)-OFFSET($B$5,SUM($W$6:$W123)-10,))</f>
        <v>#REF!</v>
      </c>
      <c r="AI123" s="439" t="e">
        <f ca="1">(OFFSET($B$5,SUM($W$6:$W123)-1,)-OFFSET($B$5,SUM($W$6:$W123)-2,))+(OFFSET($B$5,SUM($W$6:$W123)-3,)-OFFSET($B$5,SUM($W$6:$W123)-4,))+(OFFSET($B$5,SUM($W$6:$W123)-5,)-OFFSET($B$5,SUM($W$6:$W123)-6,))+(OFFSET($B$5,SUM($W$6:$W123)-7,)-OFFSET($B$5,SUM($W$6:$W123)-8,))</f>
        <v>#REF!</v>
      </c>
      <c r="AJ123" s="439" t="e">
        <f ca="1">(OFFSET($B$5,SUM($W$6:$W123)-1,)-OFFSET($B$5,SUM($W$6:$W123)-2,))+(OFFSET($B$5,SUM($W$6:$W123)-3,)-OFFSET($B$5,SUM($W$6:$W123)-4,))+(OFFSET($B$5,SUM($W$6:$W123)-5,)-OFFSET($B$5,SUM($W$6:$W123)-6,))</f>
        <v>#REF!</v>
      </c>
      <c r="AK123" s="439">
        <f ca="1">(OFFSET($B$5,SUM($W$6:$W123)-1,)-OFFSET($B$5,SUM($W$6:$W123)-2,))+(OFFSET($B$5,SUM($W$6:$W123)-3,)-OFFSET($B$5,SUM($W$6:$W123)-4,))</f>
        <v>0</v>
      </c>
      <c r="AL123" s="439">
        <f ca="1">(OFFSET($B$5,SUM($W$6:$W123)-1,)-OFFSET($B$5,SUM($W$6:$W123)-2,))</f>
        <v>0</v>
      </c>
      <c r="AM123" s="433">
        <v>4.875</v>
      </c>
    </row>
    <row r="124" spans="6:39" x14ac:dyDescent="0.25">
      <c r="F124" s="374">
        <v>44495</v>
      </c>
      <c r="G124" s="370">
        <f t="shared" si="72"/>
        <v>44495</v>
      </c>
      <c r="H124" s="388">
        <f t="shared" ref="H124:H128" si="82">X124</f>
        <v>0</v>
      </c>
      <c r="I124" s="388">
        <f t="shared" ref="I124:I128" ca="1" si="83">IFERROR(H124+T124+OFFSET($L$99,MATCH(F124,$K$100:$K$128,0),0)-$W$2,H124-$W$2)</f>
        <v>-0.33333333333333331</v>
      </c>
      <c r="J124" s="386">
        <f ca="1">I124+J121</f>
        <v>-6.3333333333333313</v>
      </c>
      <c r="K124" s="164"/>
      <c r="L124" s="60"/>
      <c r="T124" s="438">
        <f t="shared" si="68"/>
        <v>0</v>
      </c>
      <c r="U124" s="439" t="b">
        <f t="shared" si="69"/>
        <v>0</v>
      </c>
      <c r="V124" s="440" t="b">
        <f t="shared" si="70"/>
        <v>0</v>
      </c>
      <c r="W124" s="437">
        <f t="shared" si="71"/>
        <v>0</v>
      </c>
      <c r="X124" s="439">
        <f t="shared" si="52"/>
        <v>0</v>
      </c>
      <c r="Y124" s="439">
        <f t="shared" si="53"/>
        <v>0</v>
      </c>
      <c r="Z124" s="439">
        <f t="shared" si="67"/>
        <v>0</v>
      </c>
      <c r="AA124" s="439" t="e">
        <f ca="1">(OFFSET($B$5,SUM($W$6:$W124),)-OFFSET($B$5,(SUM($W$6:$W124)-SUM($W124:$W124)+1),))</f>
        <v>#VALUE!</v>
      </c>
      <c r="AB124" s="439" t="e">
        <f ca="1">(OFFSET($B$5,SUM($W$6:$W124),)-OFFSET($B$5,SUM($W$6:$W124)-1,))+(OFFSET($B$5,SUM($W$6:$W124)-2,)-OFFSET($B$5,SUM($W$6:$W124)-3,))+(OFFSET($B$5,SUM($W$6:$W124)-4,)-OFFSET($B$5,SUM($W$6:$W124)-5,))+(OFFSET($B$5,SUM($W$6:$W124)-6,)-OFFSET($B$5,SUM($W$6:$W124)-7,))+(OFFSET($B$5,SUM($W$6:$W124)-8,)-OFFSET($B$5,SUM($W$6:$W124)-9,))+(OFFSET($B$5,SUM($W$6:$W124)-10,)-OFFSET($B$5,SUM($W$6:$W124)-11,))</f>
        <v>#VALUE!</v>
      </c>
      <c r="AC124" s="439" t="e">
        <f ca="1">(OFFSET($B$5,SUM($W$6:$W124),)-OFFSET($B$5,SUM($W$6:$W124)-1,))+(OFFSET($B$5,SUM($W$6:$W124)-2,)-OFFSET($B$5,SUM($W$6:$W124)-3,))+(OFFSET($B$5,SUM($W$6:$W124)-4,)-OFFSET($B$5,SUM($W$6:$W124)-5,))+(OFFSET($B$5,SUM($W$6:$W124)-6,)-OFFSET($B$5,SUM($W$6:$W124)-7,))+(OFFSET($B$5,SUM($W$6:$W124)-8,)-OFFSET($B$5,SUM($W$6:$W124)-9,))</f>
        <v>#VALUE!</v>
      </c>
      <c r="AD124" s="439" t="e">
        <f ca="1">(OFFSET($B$5,SUM($W$6:$W124),)-OFFSET($B$5,SUM($W$6:$W124)-1,))+(OFFSET($B$5,SUM($W$6:$W124)-2,)-OFFSET($B$5,SUM($W$6:$W124)-3,))+(OFFSET($B$5,SUM($W$6:$W124)-4,)-OFFSET($B$5,SUM($W$6:$W124)-5,))+(OFFSET($B$5,SUM($W$6:$W124)-6,)-OFFSET($B$5,SUM($W$6:$W124)-7,))</f>
        <v>#VALUE!</v>
      </c>
      <c r="AE124" s="439" t="e">
        <f ca="1">(OFFSET($B$5,SUM($W$6:$W124),)-OFFSET($B$5,SUM($W$6:$W124)-1,))+(OFFSET($B$5,SUM($W$6:$W124)-2,)-OFFSET($B$5,SUM($W$6:$W124)-3,))+(OFFSET($B$5,SUM($W$6:$W124)-4,)-OFFSET($B$5,SUM($W$6:$W124)-5,))</f>
        <v>#VALUE!</v>
      </c>
      <c r="AF124" s="439" t="e">
        <f ca="1">(OFFSET($B$5,SUM($W$6:$W124),)-OFFSET($B$5,SUM($W$6:$W124)-1,))+(OFFSET($B$5,SUM($W$6:$W124)-2,)-OFFSET($B$5,SUM($W$6:$W124)-3,))</f>
        <v>#VALUE!</v>
      </c>
      <c r="AG124" s="439" t="e">
        <f ca="1">(OFFSET($B$5,SUM($W$6:$W124),)-OFFSET($B$5,SUM($W$6:$W124)-1,))</f>
        <v>#VALUE!</v>
      </c>
      <c r="AH124" s="439" t="e">
        <f ca="1">(OFFSET($B$5,SUM($W$6:$W124)-1,)-OFFSET($B$5,SUM($W$6:$W124)-2,))+(OFFSET($B$5,SUM($W$6:$W124)-3,)-OFFSET($B$5,SUM($W$6:$W124)-4,))+(OFFSET($B$5,SUM($W$6:$W124)-5,)-OFFSET($B$5,SUM($W$6:$W124)-6,))+(OFFSET($B$5,SUM($W$6:$W124)-7,)-OFFSET($B$5,SUM($W$6:$W124)-8,))+(OFFSET($B$5,SUM($W$6:$W124)-9,)-OFFSET($B$5,SUM($W$6:$W124)-10,))</f>
        <v>#REF!</v>
      </c>
      <c r="AI124" s="439" t="e">
        <f ca="1">(OFFSET($B$5,SUM($W$6:$W124)-1,)-OFFSET($B$5,SUM($W$6:$W124)-2,))+(OFFSET($B$5,SUM($W$6:$W124)-3,)-OFFSET($B$5,SUM($W$6:$W124)-4,))+(OFFSET($B$5,SUM($W$6:$W124)-5,)-OFFSET($B$5,SUM($W$6:$W124)-6,))+(OFFSET($B$5,SUM($W$6:$W124)-7,)-OFFSET($B$5,SUM($W$6:$W124)-8,))</f>
        <v>#REF!</v>
      </c>
      <c r="AJ124" s="439" t="e">
        <f ca="1">(OFFSET($B$5,SUM($W$6:$W124)-1,)-OFFSET($B$5,SUM($W$6:$W124)-2,))+(OFFSET($B$5,SUM($W$6:$W124)-3,)-OFFSET($B$5,SUM($W$6:$W124)-4,))+(OFFSET($B$5,SUM($W$6:$W124)-5,)-OFFSET($B$5,SUM($W$6:$W124)-6,))</f>
        <v>#REF!</v>
      </c>
      <c r="AK124" s="439">
        <f ca="1">(OFFSET($B$5,SUM($W$6:$W124)-1,)-OFFSET($B$5,SUM($W$6:$W124)-2,))+(OFFSET($B$5,SUM($W$6:$W124)-3,)-OFFSET($B$5,SUM($W$6:$W124)-4,))</f>
        <v>0</v>
      </c>
      <c r="AL124" s="439">
        <f ca="1">(OFFSET($B$5,SUM($W$6:$W124)-1,)-OFFSET($B$5,SUM($W$6:$W124)-2,))</f>
        <v>0</v>
      </c>
      <c r="AM124" s="433">
        <v>4.9166666666666696</v>
      </c>
    </row>
    <row r="125" spans="6:39" x14ac:dyDescent="0.25">
      <c r="F125" s="374">
        <v>44496</v>
      </c>
      <c r="G125" s="370">
        <f t="shared" si="72"/>
        <v>44496</v>
      </c>
      <c r="H125" s="388">
        <f t="shared" si="82"/>
        <v>0</v>
      </c>
      <c r="I125" s="388">
        <f t="shared" ca="1" si="83"/>
        <v>-0.33333333333333331</v>
      </c>
      <c r="J125" s="386">
        <f ca="1">I125+J124</f>
        <v>-6.6666666666666643</v>
      </c>
      <c r="K125" s="164"/>
      <c r="L125" s="60"/>
      <c r="T125" s="438">
        <f t="shared" si="68"/>
        <v>0</v>
      </c>
      <c r="U125" s="439" t="b">
        <f t="shared" si="69"/>
        <v>0</v>
      </c>
      <c r="V125" s="440" t="b">
        <f t="shared" si="70"/>
        <v>0</v>
      </c>
      <c r="W125" s="437">
        <f t="shared" si="71"/>
        <v>0</v>
      </c>
      <c r="X125" s="439">
        <f t="shared" si="52"/>
        <v>0</v>
      </c>
      <c r="Y125" s="439">
        <f t="shared" si="53"/>
        <v>0</v>
      </c>
      <c r="Z125" s="439">
        <f t="shared" si="67"/>
        <v>0</v>
      </c>
      <c r="AA125" s="439" t="e">
        <f ca="1">(OFFSET($B$5,SUM($W$6:$W125),)-OFFSET($B$5,(SUM($W$6:$W125)-SUM($W125:$W125)+1),))</f>
        <v>#VALUE!</v>
      </c>
      <c r="AB125" s="439" t="e">
        <f ca="1">(OFFSET($B$5,SUM($W$6:$W125),)-OFFSET($B$5,SUM($W$6:$W125)-1,))+(OFFSET($B$5,SUM($W$6:$W125)-2,)-OFFSET($B$5,SUM($W$6:$W125)-3,))+(OFFSET($B$5,SUM($W$6:$W125)-4,)-OFFSET($B$5,SUM($W$6:$W125)-5,))+(OFFSET($B$5,SUM($W$6:$W125)-6,)-OFFSET($B$5,SUM($W$6:$W125)-7,))+(OFFSET($B$5,SUM($W$6:$W125)-8,)-OFFSET($B$5,SUM($W$6:$W125)-9,))+(OFFSET($B$5,SUM($W$6:$W125)-10,)-OFFSET($B$5,SUM($W$6:$W125)-11,))</f>
        <v>#VALUE!</v>
      </c>
      <c r="AC125" s="439" t="e">
        <f ca="1">(OFFSET($B$5,SUM($W$6:$W125),)-OFFSET($B$5,SUM($W$6:$W125)-1,))+(OFFSET($B$5,SUM($W$6:$W125)-2,)-OFFSET($B$5,SUM($W$6:$W125)-3,))+(OFFSET($B$5,SUM($W$6:$W125)-4,)-OFFSET($B$5,SUM($W$6:$W125)-5,))+(OFFSET($B$5,SUM($W$6:$W125)-6,)-OFFSET($B$5,SUM($W$6:$W125)-7,))+(OFFSET($B$5,SUM($W$6:$W125)-8,)-OFFSET($B$5,SUM($W$6:$W125)-9,))</f>
        <v>#VALUE!</v>
      </c>
      <c r="AD125" s="439" t="e">
        <f ca="1">(OFFSET($B$5,SUM($W$6:$W125),)-OFFSET($B$5,SUM($W$6:$W125)-1,))+(OFFSET($B$5,SUM($W$6:$W125)-2,)-OFFSET($B$5,SUM($W$6:$W125)-3,))+(OFFSET($B$5,SUM($W$6:$W125)-4,)-OFFSET($B$5,SUM($W$6:$W125)-5,))+(OFFSET($B$5,SUM($W$6:$W125)-6,)-OFFSET($B$5,SUM($W$6:$W125)-7,))</f>
        <v>#VALUE!</v>
      </c>
      <c r="AE125" s="439" t="e">
        <f ca="1">(OFFSET($B$5,SUM($W$6:$W125),)-OFFSET($B$5,SUM($W$6:$W125)-1,))+(OFFSET($B$5,SUM($W$6:$W125)-2,)-OFFSET($B$5,SUM($W$6:$W125)-3,))+(OFFSET($B$5,SUM($W$6:$W125)-4,)-OFFSET($B$5,SUM($W$6:$W125)-5,))</f>
        <v>#VALUE!</v>
      </c>
      <c r="AF125" s="439" t="e">
        <f ca="1">(OFFSET($B$5,SUM($W$6:$W125),)-OFFSET($B$5,SUM($W$6:$W125)-1,))+(OFFSET($B$5,SUM($W$6:$W125)-2,)-OFFSET($B$5,SUM($W$6:$W125)-3,))</f>
        <v>#VALUE!</v>
      </c>
      <c r="AG125" s="439" t="e">
        <f ca="1">(OFFSET($B$5,SUM($W$6:$W125),)-OFFSET($B$5,SUM($W$6:$W125)-1,))</f>
        <v>#VALUE!</v>
      </c>
      <c r="AH125" s="439" t="e">
        <f ca="1">(OFFSET($B$5,SUM($W$6:$W125)-1,)-OFFSET($B$5,SUM($W$6:$W125)-2,))+(OFFSET($B$5,SUM($W$6:$W125)-3,)-OFFSET($B$5,SUM($W$6:$W125)-4,))+(OFFSET($B$5,SUM($W$6:$W125)-5,)-OFFSET($B$5,SUM($W$6:$W125)-6,))+(OFFSET($B$5,SUM($W$6:$W125)-7,)-OFFSET($B$5,SUM($W$6:$W125)-8,))+(OFFSET($B$5,SUM($W$6:$W125)-9,)-OFFSET($B$5,SUM($W$6:$W125)-10,))</f>
        <v>#REF!</v>
      </c>
      <c r="AI125" s="439" t="e">
        <f ca="1">(OFFSET($B$5,SUM($W$6:$W125)-1,)-OFFSET($B$5,SUM($W$6:$W125)-2,))+(OFFSET($B$5,SUM($W$6:$W125)-3,)-OFFSET($B$5,SUM($W$6:$W125)-4,))+(OFFSET($B$5,SUM($W$6:$W125)-5,)-OFFSET($B$5,SUM($W$6:$W125)-6,))+(OFFSET($B$5,SUM($W$6:$W125)-7,)-OFFSET($B$5,SUM($W$6:$W125)-8,))</f>
        <v>#REF!</v>
      </c>
      <c r="AJ125" s="439" t="e">
        <f ca="1">(OFFSET($B$5,SUM($W$6:$W125)-1,)-OFFSET($B$5,SUM($W$6:$W125)-2,))+(OFFSET($B$5,SUM($W$6:$W125)-3,)-OFFSET($B$5,SUM($W$6:$W125)-4,))+(OFFSET($B$5,SUM($W$6:$W125)-5,)-OFFSET($B$5,SUM($W$6:$W125)-6,))</f>
        <v>#REF!</v>
      </c>
      <c r="AK125" s="439">
        <f ca="1">(OFFSET($B$5,SUM($W$6:$W125)-1,)-OFFSET($B$5,SUM($W$6:$W125)-2,))+(OFFSET($B$5,SUM($W$6:$W125)-3,)-OFFSET($B$5,SUM($W$6:$W125)-4,))</f>
        <v>0</v>
      </c>
      <c r="AL125" s="439">
        <f ca="1">(OFFSET($B$5,SUM($W$6:$W125)-1,)-OFFSET($B$5,SUM($W$6:$W125)-2,))</f>
        <v>0</v>
      </c>
      <c r="AM125" s="433">
        <v>4.9583333333333304</v>
      </c>
    </row>
    <row r="126" spans="6:39" x14ac:dyDescent="0.25">
      <c r="F126" s="374">
        <v>44497</v>
      </c>
      <c r="G126" s="370">
        <f t="shared" si="72"/>
        <v>44497</v>
      </c>
      <c r="H126" s="388">
        <f t="shared" si="82"/>
        <v>0</v>
      </c>
      <c r="I126" s="388">
        <f t="shared" ca="1" si="83"/>
        <v>-0.33333333333333331</v>
      </c>
      <c r="J126" s="386">
        <f t="shared" ref="J126:J128" ca="1" si="84">I126+J125</f>
        <v>-6.9999999999999973</v>
      </c>
      <c r="K126" s="164"/>
      <c r="L126" s="60"/>
      <c r="T126" s="438">
        <f t="shared" si="68"/>
        <v>0</v>
      </c>
      <c r="U126" s="439" t="b">
        <f t="shared" si="69"/>
        <v>0</v>
      </c>
      <c r="V126" s="440" t="b">
        <f t="shared" si="70"/>
        <v>0</v>
      </c>
      <c r="W126" s="437">
        <f t="shared" si="71"/>
        <v>0</v>
      </c>
      <c r="X126" s="439">
        <f t="shared" si="52"/>
        <v>0</v>
      </c>
      <c r="Y126" s="439">
        <f t="shared" si="53"/>
        <v>0</v>
      </c>
      <c r="Z126" s="439">
        <f t="shared" si="67"/>
        <v>0</v>
      </c>
      <c r="AA126" s="439" t="e">
        <f ca="1">(OFFSET($B$5,SUM($W$6:$W126),)-OFFSET($B$5,(SUM($W$6:$W126)-SUM($W126:$W126)+1),))</f>
        <v>#VALUE!</v>
      </c>
      <c r="AB126" s="439" t="e">
        <f ca="1">(OFFSET($B$5,SUM($W$6:$W126),)-OFFSET($B$5,SUM($W$6:$W126)-1,))+(OFFSET($B$5,SUM($W$6:$W126)-2,)-OFFSET($B$5,SUM($W$6:$W126)-3,))+(OFFSET($B$5,SUM($W$6:$W126)-4,)-OFFSET($B$5,SUM($W$6:$W126)-5,))+(OFFSET($B$5,SUM($W$6:$W126)-6,)-OFFSET($B$5,SUM($W$6:$W126)-7,))+(OFFSET($B$5,SUM($W$6:$W126)-8,)-OFFSET($B$5,SUM($W$6:$W126)-9,))+(OFFSET($B$5,SUM($W$6:$W126)-10,)-OFFSET($B$5,SUM($W$6:$W126)-11,))</f>
        <v>#VALUE!</v>
      </c>
      <c r="AC126" s="439" t="e">
        <f ca="1">(OFFSET($B$5,SUM($W$6:$W126),)-OFFSET($B$5,SUM($W$6:$W126)-1,))+(OFFSET($B$5,SUM($W$6:$W126)-2,)-OFFSET($B$5,SUM($W$6:$W126)-3,))+(OFFSET($B$5,SUM($W$6:$W126)-4,)-OFFSET($B$5,SUM($W$6:$W126)-5,))+(OFFSET($B$5,SUM($W$6:$W126)-6,)-OFFSET($B$5,SUM($W$6:$W126)-7,))+(OFFSET($B$5,SUM($W$6:$W126)-8,)-OFFSET($B$5,SUM($W$6:$W126)-9,))</f>
        <v>#VALUE!</v>
      </c>
      <c r="AD126" s="439" t="e">
        <f ca="1">(OFFSET($B$5,SUM($W$6:$W126),)-OFFSET($B$5,SUM($W$6:$W126)-1,))+(OFFSET($B$5,SUM($W$6:$W126)-2,)-OFFSET($B$5,SUM($W$6:$W126)-3,))+(OFFSET($B$5,SUM($W$6:$W126)-4,)-OFFSET($B$5,SUM($W$6:$W126)-5,))+(OFFSET($B$5,SUM($W$6:$W126)-6,)-OFFSET($B$5,SUM($W$6:$W126)-7,))</f>
        <v>#VALUE!</v>
      </c>
      <c r="AE126" s="439" t="e">
        <f ca="1">(OFFSET($B$5,SUM($W$6:$W126),)-OFFSET($B$5,SUM($W$6:$W126)-1,))+(OFFSET($B$5,SUM($W$6:$W126)-2,)-OFFSET($B$5,SUM($W$6:$W126)-3,))+(OFFSET($B$5,SUM($W$6:$W126)-4,)-OFFSET($B$5,SUM($W$6:$W126)-5,))</f>
        <v>#VALUE!</v>
      </c>
      <c r="AF126" s="439" t="e">
        <f ca="1">(OFFSET($B$5,SUM($W$6:$W126),)-OFFSET($B$5,SUM($W$6:$W126)-1,))+(OFFSET($B$5,SUM($W$6:$W126)-2,)-OFFSET($B$5,SUM($W$6:$W126)-3,))</f>
        <v>#VALUE!</v>
      </c>
      <c r="AG126" s="439" t="e">
        <f ca="1">(OFFSET($B$5,SUM($W$6:$W126),)-OFFSET($B$5,SUM($W$6:$W126)-1,))</f>
        <v>#VALUE!</v>
      </c>
      <c r="AH126" s="439" t="e">
        <f ca="1">(OFFSET($B$5,SUM($W$6:$W126)-1,)-OFFSET($B$5,SUM($W$6:$W126)-2,))+(OFFSET($B$5,SUM($W$6:$W126)-3,)-OFFSET($B$5,SUM($W$6:$W126)-4,))+(OFFSET($B$5,SUM($W$6:$W126)-5,)-OFFSET($B$5,SUM($W$6:$W126)-6,))+(OFFSET($B$5,SUM($W$6:$W126)-7,)-OFFSET($B$5,SUM($W$6:$W126)-8,))+(OFFSET($B$5,SUM($W$6:$W126)-9,)-OFFSET($B$5,SUM($W$6:$W126)-10,))</f>
        <v>#REF!</v>
      </c>
      <c r="AI126" s="439" t="e">
        <f ca="1">(OFFSET($B$5,SUM($W$6:$W126)-1,)-OFFSET($B$5,SUM($W$6:$W126)-2,))+(OFFSET($B$5,SUM($W$6:$W126)-3,)-OFFSET($B$5,SUM($W$6:$W126)-4,))+(OFFSET($B$5,SUM($W$6:$W126)-5,)-OFFSET($B$5,SUM($W$6:$W126)-6,))+(OFFSET($B$5,SUM($W$6:$W126)-7,)-OFFSET($B$5,SUM($W$6:$W126)-8,))</f>
        <v>#REF!</v>
      </c>
      <c r="AJ126" s="439" t="e">
        <f ca="1">(OFFSET($B$5,SUM($W$6:$W126)-1,)-OFFSET($B$5,SUM($W$6:$W126)-2,))+(OFFSET($B$5,SUM($W$6:$W126)-3,)-OFFSET($B$5,SUM($W$6:$W126)-4,))+(OFFSET($B$5,SUM($W$6:$W126)-5,)-OFFSET($B$5,SUM($W$6:$W126)-6,))</f>
        <v>#REF!</v>
      </c>
      <c r="AK126" s="439">
        <f ca="1">(OFFSET($B$5,SUM($W$6:$W126)-1,)-OFFSET($B$5,SUM($W$6:$W126)-2,))+(OFFSET($B$5,SUM($W$6:$W126)-3,)-OFFSET($B$5,SUM($W$6:$W126)-4,))</f>
        <v>0</v>
      </c>
      <c r="AL126" s="439">
        <f ca="1">(OFFSET($B$5,SUM($W$6:$W126)-1,)-OFFSET($B$5,SUM($W$6:$W126)-2,))</f>
        <v>0</v>
      </c>
      <c r="AM126" s="433">
        <v>5</v>
      </c>
    </row>
    <row r="127" spans="6:39" x14ac:dyDescent="0.25">
      <c r="F127" s="374">
        <v>44498</v>
      </c>
      <c r="G127" s="370">
        <f t="shared" si="72"/>
        <v>44498</v>
      </c>
      <c r="H127" s="388">
        <f t="shared" si="82"/>
        <v>0</v>
      </c>
      <c r="I127" s="388">
        <f t="shared" ca="1" si="83"/>
        <v>-0.33333333333333331</v>
      </c>
      <c r="J127" s="386">
        <f t="shared" ca="1" si="84"/>
        <v>-7.3333333333333304</v>
      </c>
      <c r="K127" s="164"/>
      <c r="L127" s="60"/>
      <c r="T127" s="438">
        <f t="shared" si="68"/>
        <v>0</v>
      </c>
      <c r="U127" s="439" t="b">
        <f t="shared" si="69"/>
        <v>0</v>
      </c>
      <c r="V127" s="440" t="b">
        <f t="shared" si="70"/>
        <v>0</v>
      </c>
      <c r="W127" s="437">
        <f t="shared" si="71"/>
        <v>0</v>
      </c>
      <c r="X127" s="439">
        <f t="shared" si="52"/>
        <v>0</v>
      </c>
      <c r="Y127" s="439">
        <f t="shared" si="53"/>
        <v>0</v>
      </c>
      <c r="Z127" s="439">
        <f t="shared" si="67"/>
        <v>0</v>
      </c>
      <c r="AA127" s="439" t="e">
        <f ca="1">(OFFSET($B$5,SUM($W$6:$W127),)-OFFSET($B$5,(SUM($W$6:$W127)-SUM($W127:$W127)+1),))</f>
        <v>#VALUE!</v>
      </c>
      <c r="AB127" s="439" t="e">
        <f ca="1">(OFFSET($B$5,SUM($W$6:$W127),)-OFFSET($B$5,SUM($W$6:$W127)-1,))+(OFFSET($B$5,SUM($W$6:$W127)-2,)-OFFSET($B$5,SUM($W$6:$W127)-3,))+(OFFSET($B$5,SUM($W$6:$W127)-4,)-OFFSET($B$5,SUM($W$6:$W127)-5,))+(OFFSET($B$5,SUM($W$6:$W127)-6,)-OFFSET($B$5,SUM($W$6:$W127)-7,))+(OFFSET($B$5,SUM($W$6:$W127)-8,)-OFFSET($B$5,SUM($W$6:$W127)-9,))+(OFFSET($B$5,SUM($W$6:$W127)-10,)-OFFSET($B$5,SUM($W$6:$W127)-11,))</f>
        <v>#VALUE!</v>
      </c>
      <c r="AC127" s="439" t="e">
        <f ca="1">(OFFSET($B$5,SUM($W$6:$W127),)-OFFSET($B$5,SUM($W$6:$W127)-1,))+(OFFSET($B$5,SUM($W$6:$W127)-2,)-OFFSET($B$5,SUM($W$6:$W127)-3,))+(OFFSET($B$5,SUM($W$6:$W127)-4,)-OFFSET($B$5,SUM($W$6:$W127)-5,))+(OFFSET($B$5,SUM($W$6:$W127)-6,)-OFFSET($B$5,SUM($W$6:$W127)-7,))+(OFFSET($B$5,SUM($W$6:$W127)-8,)-OFFSET($B$5,SUM($W$6:$W127)-9,))</f>
        <v>#VALUE!</v>
      </c>
      <c r="AD127" s="439" t="e">
        <f ca="1">(OFFSET($B$5,SUM($W$6:$W127),)-OFFSET($B$5,SUM($W$6:$W127)-1,))+(OFFSET($B$5,SUM($W$6:$W127)-2,)-OFFSET($B$5,SUM($W$6:$W127)-3,))+(OFFSET($B$5,SUM($W$6:$W127)-4,)-OFFSET($B$5,SUM($W$6:$W127)-5,))+(OFFSET($B$5,SUM($W$6:$W127)-6,)-OFFSET($B$5,SUM($W$6:$W127)-7,))</f>
        <v>#VALUE!</v>
      </c>
      <c r="AE127" s="439" t="e">
        <f ca="1">(OFFSET($B$5,SUM($W$6:$W127),)-OFFSET($B$5,SUM($W$6:$W127)-1,))+(OFFSET($B$5,SUM($W$6:$W127)-2,)-OFFSET($B$5,SUM($W$6:$W127)-3,))+(OFFSET($B$5,SUM($W$6:$W127)-4,)-OFFSET($B$5,SUM($W$6:$W127)-5,))</f>
        <v>#VALUE!</v>
      </c>
      <c r="AF127" s="439" t="e">
        <f ca="1">(OFFSET($B$5,SUM($W$6:$W127),)-OFFSET($B$5,SUM($W$6:$W127)-1,))+(OFFSET($B$5,SUM($W$6:$W127)-2,)-OFFSET($B$5,SUM($W$6:$W127)-3,))</f>
        <v>#VALUE!</v>
      </c>
      <c r="AG127" s="439" t="e">
        <f ca="1">(OFFSET($B$5,SUM($W$6:$W127),)-OFFSET($B$5,SUM($W$6:$W127)-1,))</f>
        <v>#VALUE!</v>
      </c>
      <c r="AH127" s="439" t="e">
        <f ca="1">(OFFSET($B$5,SUM($W$6:$W127)-1,)-OFFSET($B$5,SUM($W$6:$W127)-2,))+(OFFSET($B$5,SUM($W$6:$W127)-3,)-OFFSET($B$5,SUM($W$6:$W127)-4,))+(OFFSET($B$5,SUM($W$6:$W127)-5,)-OFFSET($B$5,SUM($W$6:$W127)-6,))+(OFFSET($B$5,SUM($W$6:$W127)-7,)-OFFSET($B$5,SUM($W$6:$W127)-8,))+(OFFSET($B$5,SUM($W$6:$W127)-9,)-OFFSET($B$5,SUM($W$6:$W127)-10,))</f>
        <v>#REF!</v>
      </c>
      <c r="AI127" s="439" t="e">
        <f ca="1">(OFFSET($B$5,SUM($W$6:$W127)-1,)-OFFSET($B$5,SUM($W$6:$W127)-2,))+(OFFSET($B$5,SUM($W$6:$W127)-3,)-OFFSET($B$5,SUM($W$6:$W127)-4,))+(OFFSET($B$5,SUM($W$6:$W127)-5,)-OFFSET($B$5,SUM($W$6:$W127)-6,))+(OFFSET($B$5,SUM($W$6:$W127)-7,)-OFFSET($B$5,SUM($W$6:$W127)-8,))</f>
        <v>#REF!</v>
      </c>
      <c r="AJ127" s="439" t="e">
        <f ca="1">(OFFSET($B$5,SUM($W$6:$W127)-1,)-OFFSET($B$5,SUM($W$6:$W127)-2,))+(OFFSET($B$5,SUM($W$6:$W127)-3,)-OFFSET($B$5,SUM($W$6:$W127)-4,))+(OFFSET($B$5,SUM($W$6:$W127)-5,)-OFFSET($B$5,SUM($W$6:$W127)-6,))</f>
        <v>#REF!</v>
      </c>
      <c r="AK127" s="439">
        <f ca="1">(OFFSET($B$5,SUM($W$6:$W127)-1,)-OFFSET($B$5,SUM($W$6:$W127)-2,))+(OFFSET($B$5,SUM($W$6:$W127)-3,)-OFFSET($B$5,SUM($W$6:$W127)-4,))</f>
        <v>0</v>
      </c>
      <c r="AL127" s="439">
        <f ca="1">(OFFSET($B$5,SUM($W$6:$W127)-1,)-OFFSET($B$5,SUM($W$6:$W127)-2,))</f>
        <v>0</v>
      </c>
      <c r="AM127" s="433">
        <v>5.0416666666666696</v>
      </c>
    </row>
    <row r="128" spans="6:39" ht="15.75" thickBot="1" x14ac:dyDescent="0.3">
      <c r="F128" s="375">
        <v>44499</v>
      </c>
      <c r="G128" s="370">
        <f t="shared" si="72"/>
        <v>44499</v>
      </c>
      <c r="H128" s="388">
        <f t="shared" si="82"/>
        <v>0</v>
      </c>
      <c r="I128" s="388">
        <f t="shared" ca="1" si="83"/>
        <v>-0.33333333333333331</v>
      </c>
      <c r="J128" s="386">
        <f t="shared" ca="1" si="84"/>
        <v>-7.6666666666666634</v>
      </c>
      <c r="K128" s="165"/>
      <c r="L128" s="62"/>
      <c r="T128" s="438">
        <f t="shared" si="68"/>
        <v>0</v>
      </c>
      <c r="U128" s="439" t="b">
        <f t="shared" si="69"/>
        <v>0</v>
      </c>
      <c r="V128" s="440" t="b">
        <f t="shared" si="70"/>
        <v>0</v>
      </c>
      <c r="W128" s="437">
        <f t="shared" si="71"/>
        <v>0</v>
      </c>
      <c r="X128" s="439">
        <f t="shared" si="52"/>
        <v>0</v>
      </c>
      <c r="Y128" s="439">
        <f t="shared" si="53"/>
        <v>0</v>
      </c>
      <c r="Z128" s="439">
        <f t="shared" si="67"/>
        <v>0</v>
      </c>
      <c r="AA128" s="439" t="e">
        <f ca="1">(OFFSET($B$5,SUM($W$6:$W128),)-OFFSET($B$5,(SUM($W$6:$W128)-SUM($W128:$W128)+1),))</f>
        <v>#VALUE!</v>
      </c>
      <c r="AB128" s="439" t="e">
        <f ca="1">(OFFSET($B$5,SUM($W$6:$W128),)-OFFSET($B$5,SUM($W$6:$W128)-1,))+(OFFSET($B$5,SUM($W$6:$W128)-2,)-OFFSET($B$5,SUM($W$6:$W128)-3,))+(OFFSET($B$5,SUM($W$6:$W128)-4,)-OFFSET($B$5,SUM($W$6:$W128)-5,))+(OFFSET($B$5,SUM($W$6:$W128)-6,)-OFFSET($B$5,SUM($W$6:$W128)-7,))+(OFFSET($B$5,SUM($W$6:$W128)-8,)-OFFSET($B$5,SUM($W$6:$W128)-9,))+(OFFSET($B$5,SUM($W$6:$W128)-10,)-OFFSET($B$5,SUM($W$6:$W128)-11,))</f>
        <v>#VALUE!</v>
      </c>
      <c r="AC128" s="439" t="e">
        <f ca="1">(OFFSET($B$5,SUM($W$6:$W128),)-OFFSET($B$5,SUM($W$6:$W128)-1,))+(OFFSET($B$5,SUM($W$6:$W128)-2,)-OFFSET($B$5,SUM($W$6:$W128)-3,))+(OFFSET($B$5,SUM($W$6:$W128)-4,)-OFFSET($B$5,SUM($W$6:$W128)-5,))+(OFFSET($B$5,SUM($W$6:$W128)-6,)-OFFSET($B$5,SUM($W$6:$W128)-7,))+(OFFSET($B$5,SUM($W$6:$W128)-8,)-OFFSET($B$5,SUM($W$6:$W128)-9,))</f>
        <v>#VALUE!</v>
      </c>
      <c r="AD128" s="439" t="e">
        <f ca="1">(OFFSET($B$5,SUM($W$6:$W128),)-OFFSET($B$5,SUM($W$6:$W128)-1,))+(OFFSET($B$5,SUM($W$6:$W128)-2,)-OFFSET($B$5,SUM($W$6:$W128)-3,))+(OFFSET($B$5,SUM($W$6:$W128)-4,)-OFFSET($B$5,SUM($W$6:$W128)-5,))+(OFFSET($B$5,SUM($W$6:$W128)-6,)-OFFSET($B$5,SUM($W$6:$W128)-7,))</f>
        <v>#VALUE!</v>
      </c>
      <c r="AE128" s="439" t="e">
        <f ca="1">(OFFSET($B$5,SUM($W$6:$W128),)-OFFSET($B$5,SUM($W$6:$W128)-1,))+(OFFSET($B$5,SUM($W$6:$W128)-2,)-OFFSET($B$5,SUM($W$6:$W128)-3,))+(OFFSET($B$5,SUM($W$6:$W128)-4,)-OFFSET($B$5,SUM($W$6:$W128)-5,))</f>
        <v>#VALUE!</v>
      </c>
      <c r="AF128" s="439" t="e">
        <f ca="1">(OFFSET($B$5,SUM($W$6:$W128),)-OFFSET($B$5,SUM($W$6:$W128)-1,))+(OFFSET($B$5,SUM($W$6:$W128)-2,)-OFFSET($B$5,SUM($W$6:$W128)-3,))</f>
        <v>#VALUE!</v>
      </c>
      <c r="AG128" s="439" t="e">
        <f ca="1">(OFFSET($B$5,SUM($W$6:$W128),)-OFFSET($B$5,SUM($W$6:$W128)-1,))</f>
        <v>#VALUE!</v>
      </c>
      <c r="AH128" s="439" t="e">
        <f ca="1">(OFFSET($B$5,SUM($W$6:$W128)-1,)-OFFSET($B$5,SUM($W$6:$W128)-2,))+(OFFSET($B$5,SUM($W$6:$W128)-3,)-OFFSET($B$5,SUM($W$6:$W128)-4,))+(OFFSET($B$5,SUM($W$6:$W128)-5,)-OFFSET($B$5,SUM($W$6:$W128)-6,))+(OFFSET($B$5,SUM($W$6:$W128)-7,)-OFFSET($B$5,SUM($W$6:$W128)-8,))+(OFFSET($B$5,SUM($W$6:$W128)-9,)-OFFSET($B$5,SUM($W$6:$W128)-10,))</f>
        <v>#REF!</v>
      </c>
      <c r="AI128" s="439" t="e">
        <f ca="1">(OFFSET($B$5,SUM($W$6:$W128)-1,)-OFFSET($B$5,SUM($W$6:$W128)-2,))+(OFFSET($B$5,SUM($W$6:$W128)-3,)-OFFSET($B$5,SUM($W$6:$W128)-4,))+(OFFSET($B$5,SUM($W$6:$W128)-5,)-OFFSET($B$5,SUM($W$6:$W128)-6,))+(OFFSET($B$5,SUM($W$6:$W128)-7,)-OFFSET($B$5,SUM($W$6:$W128)-8,))</f>
        <v>#REF!</v>
      </c>
      <c r="AJ128" s="439" t="e">
        <f ca="1">(OFFSET($B$5,SUM($W$6:$W128)-1,)-OFFSET($B$5,SUM($W$6:$W128)-2,))+(OFFSET($B$5,SUM($W$6:$W128)-3,)-OFFSET($B$5,SUM($W$6:$W128)-4,))+(OFFSET($B$5,SUM($W$6:$W128)-5,)-OFFSET($B$5,SUM($W$6:$W128)-6,))</f>
        <v>#REF!</v>
      </c>
      <c r="AK128" s="439">
        <f ca="1">(OFFSET($B$5,SUM($W$6:$W128)-1,)-OFFSET($B$5,SUM($W$6:$W128)-2,))+(OFFSET($B$5,SUM($W$6:$W128)-3,)-OFFSET($B$5,SUM($W$6:$W128)-4,))</f>
        <v>0</v>
      </c>
      <c r="AL128" s="439">
        <f ca="1">(OFFSET($B$5,SUM($W$6:$W128)-1,)-OFFSET($B$5,SUM($W$6:$W128)-2,))</f>
        <v>0</v>
      </c>
      <c r="AM128" s="433">
        <v>5.0833333333333304</v>
      </c>
    </row>
    <row r="129" spans="6:39" ht="15.75" thickBot="1" x14ac:dyDescent="0.3">
      <c r="F129" s="447">
        <v>44500</v>
      </c>
      <c r="G129" s="405">
        <f t="shared" si="72"/>
        <v>44500</v>
      </c>
      <c r="H129" s="398"/>
      <c r="I129" s="398"/>
      <c r="J129" s="398">
        <f>H129</f>
        <v>0</v>
      </c>
      <c r="K129" s="497" t="s">
        <v>16</v>
      </c>
      <c r="L129" s="498"/>
      <c r="T129" s="438">
        <f t="shared" si="68"/>
        <v>0</v>
      </c>
      <c r="U129" s="439" t="b">
        <f t="shared" si="69"/>
        <v>0</v>
      </c>
      <c r="V129" s="440" t="b">
        <f t="shared" si="70"/>
        <v>0</v>
      </c>
      <c r="W129" s="437">
        <f t="shared" si="71"/>
        <v>0</v>
      </c>
      <c r="X129" s="439">
        <f t="shared" si="52"/>
        <v>0</v>
      </c>
      <c r="Y129" s="439">
        <f t="shared" si="53"/>
        <v>0</v>
      </c>
      <c r="Z129" s="439">
        <f t="shared" si="67"/>
        <v>0</v>
      </c>
      <c r="AA129" s="439" t="e">
        <f ca="1">(OFFSET($B$5,SUM($W$6:$W129),)-OFFSET($B$5,(SUM($W$6:$W129)-SUM($W129:$W129)+1),))</f>
        <v>#VALUE!</v>
      </c>
      <c r="AB129" s="439" t="e">
        <f ca="1">(OFFSET($B$5,SUM($W$6:$W129),)-OFFSET($B$5,SUM($W$6:$W129)-1,))+(OFFSET($B$5,SUM($W$6:$W129)-2,)-OFFSET($B$5,SUM($W$6:$W129)-3,))+(OFFSET($B$5,SUM($W$6:$W129)-4,)-OFFSET($B$5,SUM($W$6:$W129)-5,))+(OFFSET($B$5,SUM($W$6:$W129)-6,)-OFFSET($B$5,SUM($W$6:$W129)-7,))+(OFFSET($B$5,SUM($W$6:$W129)-8,)-OFFSET($B$5,SUM($W$6:$W129)-9,))+(OFFSET($B$5,SUM($W$6:$W129)-10,)-OFFSET($B$5,SUM($W$6:$W129)-11,))</f>
        <v>#VALUE!</v>
      </c>
      <c r="AC129" s="439" t="e">
        <f ca="1">(OFFSET($B$5,SUM($W$6:$W129),)-OFFSET($B$5,SUM($W$6:$W129)-1,))+(OFFSET($B$5,SUM($W$6:$W129)-2,)-OFFSET($B$5,SUM($W$6:$W129)-3,))+(OFFSET($B$5,SUM($W$6:$W129)-4,)-OFFSET($B$5,SUM($W$6:$W129)-5,))+(OFFSET($B$5,SUM($W$6:$W129)-6,)-OFFSET($B$5,SUM($W$6:$W129)-7,))+(OFFSET($B$5,SUM($W$6:$W129)-8,)-OFFSET($B$5,SUM($W$6:$W129)-9,))</f>
        <v>#VALUE!</v>
      </c>
      <c r="AD129" s="439" t="e">
        <f ca="1">(OFFSET($B$5,SUM($W$6:$W129),)-OFFSET($B$5,SUM($W$6:$W129)-1,))+(OFFSET($B$5,SUM($W$6:$W129)-2,)-OFFSET($B$5,SUM($W$6:$W129)-3,))+(OFFSET($B$5,SUM($W$6:$W129)-4,)-OFFSET($B$5,SUM($W$6:$W129)-5,))+(OFFSET($B$5,SUM($W$6:$W129)-6,)-OFFSET($B$5,SUM($W$6:$W129)-7,))</f>
        <v>#VALUE!</v>
      </c>
      <c r="AE129" s="439" t="e">
        <f ca="1">(OFFSET($B$5,SUM($W$6:$W129),)-OFFSET($B$5,SUM($W$6:$W129)-1,))+(OFFSET($B$5,SUM($W$6:$W129)-2,)-OFFSET($B$5,SUM($W$6:$W129)-3,))+(OFFSET($B$5,SUM($W$6:$W129)-4,)-OFFSET($B$5,SUM($W$6:$W129)-5,))</f>
        <v>#VALUE!</v>
      </c>
      <c r="AF129" s="439" t="e">
        <f ca="1">(OFFSET($B$5,SUM($W$6:$W129),)-OFFSET($B$5,SUM($W$6:$W129)-1,))+(OFFSET($B$5,SUM($W$6:$W129)-2,)-OFFSET($B$5,SUM($W$6:$W129)-3,))</f>
        <v>#VALUE!</v>
      </c>
      <c r="AG129" s="439" t="e">
        <f ca="1">(OFFSET($B$5,SUM($W$6:$W129),)-OFFSET($B$5,SUM($W$6:$W129)-1,))</f>
        <v>#VALUE!</v>
      </c>
      <c r="AH129" s="439" t="e">
        <f ca="1">(OFFSET($B$5,SUM($W$6:$W129)-1,)-OFFSET($B$5,SUM($W$6:$W129)-2,))+(OFFSET($B$5,SUM($W$6:$W129)-3,)-OFFSET($B$5,SUM($W$6:$W129)-4,))+(OFFSET($B$5,SUM($W$6:$W129)-5,)-OFFSET($B$5,SUM($W$6:$W129)-6,))+(OFFSET($B$5,SUM($W$6:$W129)-7,)-OFFSET($B$5,SUM($W$6:$W129)-8,))+(OFFSET($B$5,SUM($W$6:$W129)-9,)-OFFSET($B$5,SUM($W$6:$W129)-10,))</f>
        <v>#REF!</v>
      </c>
      <c r="AI129" s="439" t="e">
        <f ca="1">(OFFSET($B$5,SUM($W$6:$W129)-1,)-OFFSET($B$5,SUM($W$6:$W129)-2,))+(OFFSET($B$5,SUM($W$6:$W129)-3,)-OFFSET($B$5,SUM($W$6:$W129)-4,))+(OFFSET($B$5,SUM($W$6:$W129)-5,)-OFFSET($B$5,SUM($W$6:$W129)-6,))+(OFFSET($B$5,SUM($W$6:$W129)-7,)-OFFSET($B$5,SUM($W$6:$W129)-8,))</f>
        <v>#REF!</v>
      </c>
      <c r="AJ129" s="439" t="e">
        <f ca="1">(OFFSET($B$5,SUM($W$6:$W129)-1,)-OFFSET($B$5,SUM($W$6:$W129)-2,))+(OFFSET($B$5,SUM($W$6:$W129)-3,)-OFFSET($B$5,SUM($W$6:$W129)-4,))+(OFFSET($B$5,SUM($W$6:$W129)-5,)-OFFSET($B$5,SUM($W$6:$W129)-6,))</f>
        <v>#REF!</v>
      </c>
      <c r="AK129" s="439">
        <f ca="1">(OFFSET($B$5,SUM($W$6:$W129)-1,)-OFFSET($B$5,SUM($W$6:$W129)-2,))+(OFFSET($B$5,SUM($W$6:$W129)-3,)-OFFSET($B$5,SUM($W$6:$W129)-4,))</f>
        <v>0</v>
      </c>
      <c r="AL129" s="439">
        <f ca="1">(OFFSET($B$5,SUM($W$6:$W129)-1,)-OFFSET($B$5,SUM($W$6:$W129)-2,))</f>
        <v>0</v>
      </c>
      <c r="AM129" s="433">
        <v>5.125</v>
      </c>
    </row>
    <row r="130" spans="6:39" x14ac:dyDescent="0.25">
      <c r="F130" s="376">
        <v>44501</v>
      </c>
      <c r="G130" s="404">
        <f t="shared" si="72"/>
        <v>44501</v>
      </c>
      <c r="H130" s="389"/>
      <c r="I130" s="389"/>
      <c r="J130" s="389"/>
      <c r="K130" s="402" t="s">
        <v>14</v>
      </c>
      <c r="L130" s="393" t="s">
        <v>15</v>
      </c>
      <c r="T130" s="438">
        <f t="shared" si="68"/>
        <v>0</v>
      </c>
      <c r="U130" s="439" t="b">
        <f t="shared" si="69"/>
        <v>0</v>
      </c>
      <c r="V130" s="440" t="b">
        <f t="shared" si="70"/>
        <v>0</v>
      </c>
      <c r="W130" s="437">
        <f t="shared" si="71"/>
        <v>0</v>
      </c>
      <c r="X130" s="439">
        <f t="shared" si="52"/>
        <v>0</v>
      </c>
      <c r="Y130" s="439">
        <f t="shared" si="53"/>
        <v>0</v>
      </c>
      <c r="Z130" s="439">
        <f t="shared" si="67"/>
        <v>0</v>
      </c>
      <c r="AA130" s="439" t="e">
        <f ca="1">(OFFSET($B$5,SUM($W$6:$W130),)-OFFSET($B$5,(SUM($W$6:$W130)-SUM($W130:$W130)+1),))</f>
        <v>#VALUE!</v>
      </c>
      <c r="AB130" s="439" t="e">
        <f ca="1">(OFFSET($B$5,SUM($W$6:$W130),)-OFFSET($B$5,SUM($W$6:$W130)-1,))+(OFFSET($B$5,SUM($W$6:$W130)-2,)-OFFSET($B$5,SUM($W$6:$W130)-3,))+(OFFSET($B$5,SUM($W$6:$W130)-4,)-OFFSET($B$5,SUM($W$6:$W130)-5,))+(OFFSET($B$5,SUM($W$6:$W130)-6,)-OFFSET($B$5,SUM($W$6:$W130)-7,))+(OFFSET($B$5,SUM($W$6:$W130)-8,)-OFFSET($B$5,SUM($W$6:$W130)-9,))+(OFFSET($B$5,SUM($W$6:$W130)-10,)-OFFSET($B$5,SUM($W$6:$W130)-11,))</f>
        <v>#VALUE!</v>
      </c>
      <c r="AC130" s="439" t="e">
        <f ca="1">(OFFSET($B$5,SUM($W$6:$W130),)-OFFSET($B$5,SUM($W$6:$W130)-1,))+(OFFSET($B$5,SUM($W$6:$W130)-2,)-OFFSET($B$5,SUM($W$6:$W130)-3,))+(OFFSET($B$5,SUM($W$6:$W130)-4,)-OFFSET($B$5,SUM($W$6:$W130)-5,))+(OFFSET($B$5,SUM($W$6:$W130)-6,)-OFFSET($B$5,SUM($W$6:$W130)-7,))+(OFFSET($B$5,SUM($W$6:$W130)-8,)-OFFSET($B$5,SUM($W$6:$W130)-9,))</f>
        <v>#VALUE!</v>
      </c>
      <c r="AD130" s="439" t="e">
        <f ca="1">(OFFSET($B$5,SUM($W$6:$W130),)-OFFSET($B$5,SUM($W$6:$W130)-1,))+(OFFSET($B$5,SUM($W$6:$W130)-2,)-OFFSET($B$5,SUM($W$6:$W130)-3,))+(OFFSET($B$5,SUM($W$6:$W130)-4,)-OFFSET($B$5,SUM($W$6:$W130)-5,))+(OFFSET($B$5,SUM($W$6:$W130)-6,)-OFFSET($B$5,SUM($W$6:$W130)-7,))</f>
        <v>#VALUE!</v>
      </c>
      <c r="AE130" s="439" t="e">
        <f ca="1">(OFFSET($B$5,SUM($W$6:$W130),)-OFFSET($B$5,SUM($W$6:$W130)-1,))+(OFFSET($B$5,SUM($W$6:$W130)-2,)-OFFSET($B$5,SUM($W$6:$W130)-3,))+(OFFSET($B$5,SUM($W$6:$W130)-4,)-OFFSET($B$5,SUM($W$6:$W130)-5,))</f>
        <v>#VALUE!</v>
      </c>
      <c r="AF130" s="439" t="e">
        <f ca="1">(OFFSET($B$5,SUM($W$6:$W130),)-OFFSET($B$5,SUM($W$6:$W130)-1,))+(OFFSET($B$5,SUM($W$6:$W130)-2,)-OFFSET($B$5,SUM($W$6:$W130)-3,))</f>
        <v>#VALUE!</v>
      </c>
      <c r="AG130" s="439" t="e">
        <f ca="1">(OFFSET($B$5,SUM($W$6:$W130),)-OFFSET($B$5,SUM($W$6:$W130)-1,))</f>
        <v>#VALUE!</v>
      </c>
      <c r="AH130" s="439" t="e">
        <f ca="1">(OFFSET($B$5,SUM($W$6:$W130)-1,)-OFFSET($B$5,SUM($W$6:$W130)-2,))+(OFFSET($B$5,SUM($W$6:$W130)-3,)-OFFSET($B$5,SUM($W$6:$W130)-4,))+(OFFSET($B$5,SUM($W$6:$W130)-5,)-OFFSET($B$5,SUM($W$6:$W130)-6,))+(OFFSET($B$5,SUM($W$6:$W130)-7,)-OFFSET($B$5,SUM($W$6:$W130)-8,))+(OFFSET($B$5,SUM($W$6:$W130)-9,)-OFFSET($B$5,SUM($W$6:$W130)-10,))</f>
        <v>#REF!</v>
      </c>
      <c r="AI130" s="439" t="e">
        <f ca="1">(OFFSET($B$5,SUM($W$6:$W130)-1,)-OFFSET($B$5,SUM($W$6:$W130)-2,))+(OFFSET($B$5,SUM($W$6:$W130)-3,)-OFFSET($B$5,SUM($W$6:$W130)-4,))+(OFFSET($B$5,SUM($W$6:$W130)-5,)-OFFSET($B$5,SUM($W$6:$W130)-6,))+(OFFSET($B$5,SUM($W$6:$W130)-7,)-OFFSET($B$5,SUM($W$6:$W130)-8,))</f>
        <v>#REF!</v>
      </c>
      <c r="AJ130" s="439" t="e">
        <f ca="1">(OFFSET($B$5,SUM($W$6:$W130)-1,)-OFFSET($B$5,SUM($W$6:$W130)-2,))+(OFFSET($B$5,SUM($W$6:$W130)-3,)-OFFSET($B$5,SUM($W$6:$W130)-4,))+(OFFSET($B$5,SUM($W$6:$W130)-5,)-OFFSET($B$5,SUM($W$6:$W130)-6,))</f>
        <v>#REF!</v>
      </c>
      <c r="AK130" s="439">
        <f ca="1">(OFFSET($B$5,SUM($W$6:$W130)-1,)-OFFSET($B$5,SUM($W$6:$W130)-2,))+(OFFSET($B$5,SUM($W$6:$W130)-3,)-OFFSET($B$5,SUM($W$6:$W130)-4,))</f>
        <v>0</v>
      </c>
      <c r="AL130" s="439">
        <f ca="1">(OFFSET($B$5,SUM($W$6:$W130)-1,)-OFFSET($B$5,SUM($W$6:$W130)-2,))</f>
        <v>0</v>
      </c>
      <c r="AM130" s="433">
        <v>5.1666666666666696</v>
      </c>
    </row>
    <row r="131" spans="6:39" x14ac:dyDescent="0.25">
      <c r="F131" s="376">
        <v>44502</v>
      </c>
      <c r="G131" s="404">
        <f t="shared" si="72"/>
        <v>44502</v>
      </c>
      <c r="H131" s="389"/>
      <c r="I131" s="389"/>
      <c r="J131" s="389"/>
      <c r="K131" s="163"/>
      <c r="L131" s="59"/>
      <c r="T131" s="438">
        <f t="shared" si="68"/>
        <v>0</v>
      </c>
      <c r="U131" s="439" t="b">
        <f t="shared" si="69"/>
        <v>0</v>
      </c>
      <c r="V131" s="440" t="b">
        <f t="shared" si="70"/>
        <v>0</v>
      </c>
      <c r="W131" s="437">
        <f t="shared" si="71"/>
        <v>0</v>
      </c>
      <c r="X131" s="439">
        <f t="shared" si="52"/>
        <v>0</v>
      </c>
      <c r="Y131" s="439">
        <f t="shared" si="53"/>
        <v>0</v>
      </c>
      <c r="Z131" s="439">
        <f t="shared" si="67"/>
        <v>0</v>
      </c>
      <c r="AA131" s="439" t="e">
        <f ca="1">(OFFSET($B$5,SUM($W$6:$W131),)-OFFSET($B$5,(SUM($W$6:$W131)-SUM($W131:$W131)+1),))</f>
        <v>#VALUE!</v>
      </c>
      <c r="AB131" s="439" t="e">
        <f ca="1">(OFFSET($B$5,SUM($W$6:$W131),)-OFFSET($B$5,SUM($W$6:$W131)-1,))+(OFFSET($B$5,SUM($W$6:$W131)-2,)-OFFSET($B$5,SUM($W$6:$W131)-3,))+(OFFSET($B$5,SUM($W$6:$W131)-4,)-OFFSET($B$5,SUM($W$6:$W131)-5,))+(OFFSET($B$5,SUM($W$6:$W131)-6,)-OFFSET($B$5,SUM($W$6:$W131)-7,))+(OFFSET($B$5,SUM($W$6:$W131)-8,)-OFFSET($B$5,SUM($W$6:$W131)-9,))+(OFFSET($B$5,SUM($W$6:$W131)-10,)-OFFSET($B$5,SUM($W$6:$W131)-11,))</f>
        <v>#VALUE!</v>
      </c>
      <c r="AC131" s="439" t="e">
        <f ca="1">(OFFSET($B$5,SUM($W$6:$W131),)-OFFSET($B$5,SUM($W$6:$W131)-1,))+(OFFSET($B$5,SUM($W$6:$W131)-2,)-OFFSET($B$5,SUM($W$6:$W131)-3,))+(OFFSET($B$5,SUM($W$6:$W131)-4,)-OFFSET($B$5,SUM($W$6:$W131)-5,))+(OFFSET($B$5,SUM($W$6:$W131)-6,)-OFFSET($B$5,SUM($W$6:$W131)-7,))+(OFFSET($B$5,SUM($W$6:$W131)-8,)-OFFSET($B$5,SUM($W$6:$W131)-9,))</f>
        <v>#VALUE!</v>
      </c>
      <c r="AD131" s="439" t="e">
        <f ca="1">(OFFSET($B$5,SUM($W$6:$W131),)-OFFSET($B$5,SUM($W$6:$W131)-1,))+(OFFSET($B$5,SUM($W$6:$W131)-2,)-OFFSET($B$5,SUM($W$6:$W131)-3,))+(OFFSET($B$5,SUM($W$6:$W131)-4,)-OFFSET($B$5,SUM($W$6:$W131)-5,))+(OFFSET($B$5,SUM($W$6:$W131)-6,)-OFFSET($B$5,SUM($W$6:$W131)-7,))</f>
        <v>#VALUE!</v>
      </c>
      <c r="AE131" s="439" t="e">
        <f ca="1">(OFFSET($B$5,SUM($W$6:$W131),)-OFFSET($B$5,SUM($W$6:$W131)-1,))+(OFFSET($B$5,SUM($W$6:$W131)-2,)-OFFSET($B$5,SUM($W$6:$W131)-3,))+(OFFSET($B$5,SUM($W$6:$W131)-4,)-OFFSET($B$5,SUM($W$6:$W131)-5,))</f>
        <v>#VALUE!</v>
      </c>
      <c r="AF131" s="439" t="e">
        <f ca="1">(OFFSET($B$5,SUM($W$6:$W131),)-OFFSET($B$5,SUM($W$6:$W131)-1,))+(OFFSET($B$5,SUM($W$6:$W131)-2,)-OFFSET($B$5,SUM($W$6:$W131)-3,))</f>
        <v>#VALUE!</v>
      </c>
      <c r="AG131" s="439" t="e">
        <f ca="1">(OFFSET($B$5,SUM($W$6:$W131),)-OFFSET($B$5,SUM($W$6:$W131)-1,))</f>
        <v>#VALUE!</v>
      </c>
      <c r="AH131" s="439" t="e">
        <f ca="1">(OFFSET($B$5,SUM($W$6:$W131)-1,)-OFFSET($B$5,SUM($W$6:$W131)-2,))+(OFFSET($B$5,SUM($W$6:$W131)-3,)-OFFSET($B$5,SUM($W$6:$W131)-4,))+(OFFSET($B$5,SUM($W$6:$W131)-5,)-OFFSET($B$5,SUM($W$6:$W131)-6,))+(OFFSET($B$5,SUM($W$6:$W131)-7,)-OFFSET($B$5,SUM($W$6:$W131)-8,))+(OFFSET($B$5,SUM($W$6:$W131)-9,)-OFFSET($B$5,SUM($W$6:$W131)-10,))</f>
        <v>#REF!</v>
      </c>
      <c r="AI131" s="439" t="e">
        <f ca="1">(OFFSET($B$5,SUM($W$6:$W131)-1,)-OFFSET($B$5,SUM($W$6:$W131)-2,))+(OFFSET($B$5,SUM($W$6:$W131)-3,)-OFFSET($B$5,SUM($W$6:$W131)-4,))+(OFFSET($B$5,SUM($W$6:$W131)-5,)-OFFSET($B$5,SUM($W$6:$W131)-6,))+(OFFSET($B$5,SUM($W$6:$W131)-7,)-OFFSET($B$5,SUM($W$6:$W131)-8,))</f>
        <v>#REF!</v>
      </c>
      <c r="AJ131" s="439" t="e">
        <f ca="1">(OFFSET($B$5,SUM($W$6:$W131)-1,)-OFFSET($B$5,SUM($W$6:$W131)-2,))+(OFFSET($B$5,SUM($W$6:$W131)-3,)-OFFSET($B$5,SUM($W$6:$W131)-4,))+(OFFSET($B$5,SUM($W$6:$W131)-5,)-OFFSET($B$5,SUM($W$6:$W131)-6,))</f>
        <v>#REF!</v>
      </c>
      <c r="AK131" s="439">
        <f ca="1">(OFFSET($B$5,SUM($W$6:$W131)-1,)-OFFSET($B$5,SUM($W$6:$W131)-2,))+(OFFSET($B$5,SUM($W$6:$W131)-3,)-OFFSET($B$5,SUM($W$6:$W131)-4,))</f>
        <v>0</v>
      </c>
      <c r="AL131" s="439">
        <f ca="1">(OFFSET($B$5,SUM($W$6:$W131)-1,)-OFFSET($B$5,SUM($W$6:$W131)-2,))</f>
        <v>0</v>
      </c>
      <c r="AM131" s="433">
        <v>5.2083333333333304</v>
      </c>
    </row>
    <row r="132" spans="6:39" x14ac:dyDescent="0.25">
      <c r="F132" s="376">
        <v>44503</v>
      </c>
      <c r="G132" s="404">
        <f t="shared" si="72"/>
        <v>44503</v>
      </c>
      <c r="H132" s="389"/>
      <c r="I132" s="389"/>
      <c r="J132" s="389"/>
      <c r="K132" s="163"/>
      <c r="L132" s="59"/>
      <c r="T132" s="438">
        <f t="shared" si="68"/>
        <v>0</v>
      </c>
      <c r="U132" s="439" t="b">
        <f t="shared" si="69"/>
        <v>0</v>
      </c>
      <c r="V132" s="440" t="b">
        <f t="shared" si="70"/>
        <v>0</v>
      </c>
      <c r="W132" s="437">
        <f t="shared" si="71"/>
        <v>0</v>
      </c>
      <c r="X132" s="439">
        <f t="shared" si="52"/>
        <v>0</v>
      </c>
      <c r="Y132" s="439">
        <f t="shared" si="53"/>
        <v>0</v>
      </c>
      <c r="Z132" s="439">
        <f t="shared" si="67"/>
        <v>0</v>
      </c>
      <c r="AA132" s="439" t="e">
        <f ca="1">(OFFSET($B$5,SUM($W$6:$W132),)-OFFSET($B$5,(SUM($W$6:$W132)-SUM($W132:$W132)+1),))</f>
        <v>#VALUE!</v>
      </c>
      <c r="AB132" s="439" t="e">
        <f ca="1">(OFFSET($B$5,SUM($W$6:$W132),)-OFFSET($B$5,SUM($W$6:$W132)-1,))+(OFFSET($B$5,SUM($W$6:$W132)-2,)-OFFSET($B$5,SUM($W$6:$W132)-3,))+(OFFSET($B$5,SUM($W$6:$W132)-4,)-OFFSET($B$5,SUM($W$6:$W132)-5,))+(OFFSET($B$5,SUM($W$6:$W132)-6,)-OFFSET($B$5,SUM($W$6:$W132)-7,))+(OFFSET($B$5,SUM($W$6:$W132)-8,)-OFFSET($B$5,SUM($W$6:$W132)-9,))+(OFFSET($B$5,SUM($W$6:$W132)-10,)-OFFSET($B$5,SUM($W$6:$W132)-11,))</f>
        <v>#VALUE!</v>
      </c>
      <c r="AC132" s="439" t="e">
        <f ca="1">(OFFSET($B$5,SUM($W$6:$W132),)-OFFSET($B$5,SUM($W$6:$W132)-1,))+(OFFSET($B$5,SUM($W$6:$W132)-2,)-OFFSET($B$5,SUM($W$6:$W132)-3,))+(OFFSET($B$5,SUM($W$6:$W132)-4,)-OFFSET($B$5,SUM($W$6:$W132)-5,))+(OFFSET($B$5,SUM($W$6:$W132)-6,)-OFFSET($B$5,SUM($W$6:$W132)-7,))+(OFFSET($B$5,SUM($W$6:$W132)-8,)-OFFSET($B$5,SUM($W$6:$W132)-9,))</f>
        <v>#VALUE!</v>
      </c>
      <c r="AD132" s="439" t="e">
        <f ca="1">(OFFSET($B$5,SUM($W$6:$W132),)-OFFSET($B$5,SUM($W$6:$W132)-1,))+(OFFSET($B$5,SUM($W$6:$W132)-2,)-OFFSET($B$5,SUM($W$6:$W132)-3,))+(OFFSET($B$5,SUM($W$6:$W132)-4,)-OFFSET($B$5,SUM($W$6:$W132)-5,))+(OFFSET($B$5,SUM($W$6:$W132)-6,)-OFFSET($B$5,SUM($W$6:$W132)-7,))</f>
        <v>#VALUE!</v>
      </c>
      <c r="AE132" s="439" t="e">
        <f ca="1">(OFFSET($B$5,SUM($W$6:$W132),)-OFFSET($B$5,SUM($W$6:$W132)-1,))+(OFFSET($B$5,SUM($W$6:$W132)-2,)-OFFSET($B$5,SUM($W$6:$W132)-3,))+(OFFSET($B$5,SUM($W$6:$W132)-4,)-OFFSET($B$5,SUM($W$6:$W132)-5,))</f>
        <v>#VALUE!</v>
      </c>
      <c r="AF132" s="439" t="e">
        <f ca="1">(OFFSET($B$5,SUM($W$6:$W132),)-OFFSET($B$5,SUM($W$6:$W132)-1,))+(OFFSET($B$5,SUM($W$6:$W132)-2,)-OFFSET($B$5,SUM($W$6:$W132)-3,))</f>
        <v>#VALUE!</v>
      </c>
      <c r="AG132" s="439" t="e">
        <f ca="1">(OFFSET($B$5,SUM($W$6:$W132),)-OFFSET($B$5,SUM($W$6:$W132)-1,))</f>
        <v>#VALUE!</v>
      </c>
      <c r="AH132" s="439" t="e">
        <f ca="1">(OFFSET($B$5,SUM($W$6:$W132)-1,)-OFFSET($B$5,SUM($W$6:$W132)-2,))+(OFFSET($B$5,SUM($W$6:$W132)-3,)-OFFSET($B$5,SUM($W$6:$W132)-4,))+(OFFSET($B$5,SUM($W$6:$W132)-5,)-OFFSET($B$5,SUM($W$6:$W132)-6,))+(OFFSET($B$5,SUM($W$6:$W132)-7,)-OFFSET($B$5,SUM($W$6:$W132)-8,))+(OFFSET($B$5,SUM($W$6:$W132)-9,)-OFFSET($B$5,SUM($W$6:$W132)-10,))</f>
        <v>#REF!</v>
      </c>
      <c r="AI132" s="439" t="e">
        <f ca="1">(OFFSET($B$5,SUM($W$6:$W132)-1,)-OFFSET($B$5,SUM($W$6:$W132)-2,))+(OFFSET($B$5,SUM($W$6:$W132)-3,)-OFFSET($B$5,SUM($W$6:$W132)-4,))+(OFFSET($B$5,SUM($W$6:$W132)-5,)-OFFSET($B$5,SUM($W$6:$W132)-6,))+(OFFSET($B$5,SUM($W$6:$W132)-7,)-OFFSET($B$5,SUM($W$6:$W132)-8,))</f>
        <v>#REF!</v>
      </c>
      <c r="AJ132" s="439" t="e">
        <f ca="1">(OFFSET($B$5,SUM($W$6:$W132)-1,)-OFFSET($B$5,SUM($W$6:$W132)-2,))+(OFFSET($B$5,SUM($W$6:$W132)-3,)-OFFSET($B$5,SUM($W$6:$W132)-4,))+(OFFSET($B$5,SUM($W$6:$W132)-5,)-OFFSET($B$5,SUM($W$6:$W132)-6,))</f>
        <v>#REF!</v>
      </c>
      <c r="AK132" s="439">
        <f ca="1">(OFFSET($B$5,SUM($W$6:$W132)-1,)-OFFSET($B$5,SUM($W$6:$W132)-2,))+(OFFSET($B$5,SUM($W$6:$W132)-3,)-OFFSET($B$5,SUM($W$6:$W132)-4,))</f>
        <v>0</v>
      </c>
      <c r="AL132" s="439">
        <f ca="1">(OFFSET($B$5,SUM($W$6:$W132)-1,)-OFFSET($B$5,SUM($W$6:$W132)-2,))</f>
        <v>0</v>
      </c>
      <c r="AM132" s="433">
        <v>5.25</v>
      </c>
    </row>
    <row r="133" spans="6:39" x14ac:dyDescent="0.25">
      <c r="F133" s="376">
        <v>44504</v>
      </c>
      <c r="G133" s="370">
        <f t="shared" si="72"/>
        <v>44504</v>
      </c>
      <c r="H133" s="388">
        <f>X133</f>
        <v>0</v>
      </c>
      <c r="I133" s="388">
        <f ca="1">IFERROR(H133+T133+OFFSET($L$130,MATCH(F133,$K$131:$K$159,0),0)-$W$2,H133-$W$2)</f>
        <v>-0.33333333333333331</v>
      </c>
      <c r="J133" s="386">
        <f ca="1">I133+J130</f>
        <v>-0.33333333333333331</v>
      </c>
      <c r="K133" s="163"/>
      <c r="L133" s="59"/>
      <c r="T133" s="438">
        <f t="shared" si="68"/>
        <v>0</v>
      </c>
      <c r="U133" s="439" t="b">
        <f t="shared" si="69"/>
        <v>0</v>
      </c>
      <c r="V133" s="440" t="b">
        <f t="shared" si="70"/>
        <v>0</v>
      </c>
      <c r="W133" s="437">
        <f t="shared" si="71"/>
        <v>0</v>
      </c>
      <c r="X133" s="439">
        <f t="shared" si="52"/>
        <v>0</v>
      </c>
      <c r="Y133" s="439">
        <f t="shared" si="53"/>
        <v>0</v>
      </c>
      <c r="Z133" s="439">
        <f t="shared" si="67"/>
        <v>0</v>
      </c>
      <c r="AA133" s="439" t="e">
        <f ca="1">(OFFSET($B$5,SUM($W$6:$W133),)-OFFSET($B$5,(SUM($W$6:$W133)-SUM($W133:$W133)+1),))</f>
        <v>#VALUE!</v>
      </c>
      <c r="AB133" s="439" t="e">
        <f ca="1">(OFFSET($B$5,SUM($W$6:$W133),)-OFFSET($B$5,SUM($W$6:$W133)-1,))+(OFFSET($B$5,SUM($W$6:$W133)-2,)-OFFSET($B$5,SUM($W$6:$W133)-3,))+(OFFSET($B$5,SUM($W$6:$W133)-4,)-OFFSET($B$5,SUM($W$6:$W133)-5,))+(OFFSET($B$5,SUM($W$6:$W133)-6,)-OFFSET($B$5,SUM($W$6:$W133)-7,))+(OFFSET($B$5,SUM($W$6:$W133)-8,)-OFFSET($B$5,SUM($W$6:$W133)-9,))+(OFFSET($B$5,SUM($W$6:$W133)-10,)-OFFSET($B$5,SUM($W$6:$W133)-11,))</f>
        <v>#VALUE!</v>
      </c>
      <c r="AC133" s="439" t="e">
        <f ca="1">(OFFSET($B$5,SUM($W$6:$W133),)-OFFSET($B$5,SUM($W$6:$W133)-1,))+(OFFSET($B$5,SUM($W$6:$W133)-2,)-OFFSET($B$5,SUM($W$6:$W133)-3,))+(OFFSET($B$5,SUM($W$6:$W133)-4,)-OFFSET($B$5,SUM($W$6:$W133)-5,))+(OFFSET($B$5,SUM($W$6:$W133)-6,)-OFFSET($B$5,SUM($W$6:$W133)-7,))+(OFFSET($B$5,SUM($W$6:$W133)-8,)-OFFSET($B$5,SUM($W$6:$W133)-9,))</f>
        <v>#VALUE!</v>
      </c>
      <c r="AD133" s="439" t="e">
        <f ca="1">(OFFSET($B$5,SUM($W$6:$W133),)-OFFSET($B$5,SUM($W$6:$W133)-1,))+(OFFSET($B$5,SUM($W$6:$W133)-2,)-OFFSET($B$5,SUM($W$6:$W133)-3,))+(OFFSET($B$5,SUM($W$6:$W133)-4,)-OFFSET($B$5,SUM($W$6:$W133)-5,))+(OFFSET($B$5,SUM($W$6:$W133)-6,)-OFFSET($B$5,SUM($W$6:$W133)-7,))</f>
        <v>#VALUE!</v>
      </c>
      <c r="AE133" s="439" t="e">
        <f ca="1">(OFFSET($B$5,SUM($W$6:$W133),)-OFFSET($B$5,SUM($W$6:$W133)-1,))+(OFFSET($B$5,SUM($W$6:$W133)-2,)-OFFSET($B$5,SUM($W$6:$W133)-3,))+(OFFSET($B$5,SUM($W$6:$W133)-4,)-OFFSET($B$5,SUM($W$6:$W133)-5,))</f>
        <v>#VALUE!</v>
      </c>
      <c r="AF133" s="439" t="e">
        <f ca="1">(OFFSET($B$5,SUM($W$6:$W133),)-OFFSET($B$5,SUM($W$6:$W133)-1,))+(OFFSET($B$5,SUM($W$6:$W133)-2,)-OFFSET($B$5,SUM($W$6:$W133)-3,))</f>
        <v>#VALUE!</v>
      </c>
      <c r="AG133" s="439" t="e">
        <f ca="1">(OFFSET($B$5,SUM($W$6:$W133),)-OFFSET($B$5,SUM($W$6:$W133)-1,))</f>
        <v>#VALUE!</v>
      </c>
      <c r="AH133" s="439" t="e">
        <f ca="1">(OFFSET($B$5,SUM($W$6:$W133)-1,)-OFFSET($B$5,SUM($W$6:$W133)-2,))+(OFFSET($B$5,SUM($W$6:$W133)-3,)-OFFSET($B$5,SUM($W$6:$W133)-4,))+(OFFSET($B$5,SUM($W$6:$W133)-5,)-OFFSET($B$5,SUM($W$6:$W133)-6,))+(OFFSET($B$5,SUM($W$6:$W133)-7,)-OFFSET($B$5,SUM($W$6:$W133)-8,))+(OFFSET($B$5,SUM($W$6:$W133)-9,)-OFFSET($B$5,SUM($W$6:$W133)-10,))</f>
        <v>#REF!</v>
      </c>
      <c r="AI133" s="439" t="e">
        <f ca="1">(OFFSET($B$5,SUM($W$6:$W133)-1,)-OFFSET($B$5,SUM($W$6:$W133)-2,))+(OFFSET($B$5,SUM($W$6:$W133)-3,)-OFFSET($B$5,SUM($W$6:$W133)-4,))+(OFFSET($B$5,SUM($W$6:$W133)-5,)-OFFSET($B$5,SUM($W$6:$W133)-6,))+(OFFSET($B$5,SUM($W$6:$W133)-7,)-OFFSET($B$5,SUM($W$6:$W133)-8,))</f>
        <v>#REF!</v>
      </c>
      <c r="AJ133" s="439" t="e">
        <f ca="1">(OFFSET($B$5,SUM($W$6:$W133)-1,)-OFFSET($B$5,SUM($W$6:$W133)-2,))+(OFFSET($B$5,SUM($W$6:$W133)-3,)-OFFSET($B$5,SUM($W$6:$W133)-4,))+(OFFSET($B$5,SUM($W$6:$W133)-5,)-OFFSET($B$5,SUM($W$6:$W133)-6,))</f>
        <v>#REF!</v>
      </c>
      <c r="AK133" s="439">
        <f ca="1">(OFFSET($B$5,SUM($W$6:$W133)-1,)-OFFSET($B$5,SUM($W$6:$W133)-2,))+(OFFSET($B$5,SUM($W$6:$W133)-3,)-OFFSET($B$5,SUM($W$6:$W133)-4,))</f>
        <v>0</v>
      </c>
      <c r="AL133" s="439">
        <f ca="1">(OFFSET($B$5,SUM($W$6:$W133)-1,)-OFFSET($B$5,SUM($W$6:$W133)-2,))</f>
        <v>0</v>
      </c>
      <c r="AM133" s="433">
        <v>5.2916666666666696</v>
      </c>
    </row>
    <row r="134" spans="6:39" x14ac:dyDescent="0.25">
      <c r="F134" s="376">
        <v>44505</v>
      </c>
      <c r="G134" s="370">
        <f t="shared" ref="G134:G163" si="85">F134</f>
        <v>44505</v>
      </c>
      <c r="H134" s="388">
        <f t="shared" ref="H134:H135" si="86">X134</f>
        <v>0</v>
      </c>
      <c r="I134" s="388">
        <f t="shared" ref="I134:I135" ca="1" si="87">IFERROR(H134+T134+OFFSET($L$130,MATCH(F134,$K$131:$K$159,0),0)-$W$2,H134-$W$2)</f>
        <v>-0.33333333333333331</v>
      </c>
      <c r="J134" s="386">
        <f ca="1">I134+J133</f>
        <v>-0.66666666666666663</v>
      </c>
      <c r="K134" s="163"/>
      <c r="L134" s="59"/>
      <c r="T134" s="438">
        <f t="shared" ref="T134:T165" si="88">IF(AND(X134&lt;$V$2,X134&gt;$U$2),U134,IF(X134&gt;$V$2,V134,$U$1))</f>
        <v>0</v>
      </c>
      <c r="U134" s="439" t="b">
        <f t="shared" ref="U134:U165" si="89">IF(AND(X134&lt;$V$2,X134&gt;$U$2),IF(Y134&lt;$V$1,$V$1,$U$1))</f>
        <v>0</v>
      </c>
      <c r="V134" s="440" t="b">
        <f t="shared" ref="V134:V165" si="90">IF(X134&gt;$V$2,IF(Y134&lt;$W$1,$W$1,$U$1))</f>
        <v>0</v>
      </c>
      <c r="W134" s="437">
        <f t="shared" ref="W134:W165" si="91">(COUNTIF($C$6:$C$9999,F134))</f>
        <v>0</v>
      </c>
      <c r="X134" s="439">
        <f t="shared" si="52"/>
        <v>0</v>
      </c>
      <c r="Y134" s="439">
        <f t="shared" si="53"/>
        <v>0</v>
      </c>
      <c r="Z134" s="439">
        <f t="shared" si="67"/>
        <v>0</v>
      </c>
      <c r="AA134" s="439" t="e">
        <f ca="1">(OFFSET($B$5,SUM($W$6:$W134),)-OFFSET($B$5,(SUM($W$6:$W134)-SUM($W134:$W134)+1),))</f>
        <v>#VALUE!</v>
      </c>
      <c r="AB134" s="439" t="e">
        <f ca="1">(OFFSET($B$5,SUM($W$6:$W134),)-OFFSET($B$5,SUM($W$6:$W134)-1,))+(OFFSET($B$5,SUM($W$6:$W134)-2,)-OFFSET($B$5,SUM($W$6:$W134)-3,))+(OFFSET($B$5,SUM($W$6:$W134)-4,)-OFFSET($B$5,SUM($W$6:$W134)-5,))+(OFFSET($B$5,SUM($W$6:$W134)-6,)-OFFSET($B$5,SUM($W$6:$W134)-7,))+(OFFSET($B$5,SUM($W$6:$W134)-8,)-OFFSET($B$5,SUM($W$6:$W134)-9,))+(OFFSET($B$5,SUM($W$6:$W134)-10,)-OFFSET($B$5,SUM($W$6:$W134)-11,))</f>
        <v>#VALUE!</v>
      </c>
      <c r="AC134" s="439" t="e">
        <f ca="1">(OFFSET($B$5,SUM($W$6:$W134),)-OFFSET($B$5,SUM($W$6:$W134)-1,))+(OFFSET($B$5,SUM($W$6:$W134)-2,)-OFFSET($B$5,SUM($W$6:$W134)-3,))+(OFFSET($B$5,SUM($W$6:$W134)-4,)-OFFSET($B$5,SUM($W$6:$W134)-5,))+(OFFSET($B$5,SUM($W$6:$W134)-6,)-OFFSET($B$5,SUM($W$6:$W134)-7,))+(OFFSET($B$5,SUM($W$6:$W134)-8,)-OFFSET($B$5,SUM($W$6:$W134)-9,))</f>
        <v>#VALUE!</v>
      </c>
      <c r="AD134" s="439" t="e">
        <f ca="1">(OFFSET($B$5,SUM($W$6:$W134),)-OFFSET($B$5,SUM($W$6:$W134)-1,))+(OFFSET($B$5,SUM($W$6:$W134)-2,)-OFFSET($B$5,SUM($W$6:$W134)-3,))+(OFFSET($B$5,SUM($W$6:$W134)-4,)-OFFSET($B$5,SUM($W$6:$W134)-5,))+(OFFSET($B$5,SUM($W$6:$W134)-6,)-OFFSET($B$5,SUM($W$6:$W134)-7,))</f>
        <v>#VALUE!</v>
      </c>
      <c r="AE134" s="439" t="e">
        <f ca="1">(OFFSET($B$5,SUM($W$6:$W134),)-OFFSET($B$5,SUM($W$6:$W134)-1,))+(OFFSET($B$5,SUM($W$6:$W134)-2,)-OFFSET($B$5,SUM($W$6:$W134)-3,))+(OFFSET($B$5,SUM($W$6:$W134)-4,)-OFFSET($B$5,SUM($W$6:$W134)-5,))</f>
        <v>#VALUE!</v>
      </c>
      <c r="AF134" s="439" t="e">
        <f ca="1">(OFFSET($B$5,SUM($W$6:$W134),)-OFFSET($B$5,SUM($W$6:$W134)-1,))+(OFFSET($B$5,SUM($W$6:$W134)-2,)-OFFSET($B$5,SUM($W$6:$W134)-3,))</f>
        <v>#VALUE!</v>
      </c>
      <c r="AG134" s="439" t="e">
        <f ca="1">(OFFSET($B$5,SUM($W$6:$W134),)-OFFSET($B$5,SUM($W$6:$W134)-1,))</f>
        <v>#VALUE!</v>
      </c>
      <c r="AH134" s="439" t="e">
        <f ca="1">(OFFSET($B$5,SUM($W$6:$W134)-1,)-OFFSET($B$5,SUM($W$6:$W134)-2,))+(OFFSET($B$5,SUM($W$6:$W134)-3,)-OFFSET($B$5,SUM($W$6:$W134)-4,))+(OFFSET($B$5,SUM($W$6:$W134)-5,)-OFFSET($B$5,SUM($W$6:$W134)-6,))+(OFFSET($B$5,SUM($W$6:$W134)-7,)-OFFSET($B$5,SUM($W$6:$W134)-8,))+(OFFSET($B$5,SUM($W$6:$W134)-9,)-OFFSET($B$5,SUM($W$6:$W134)-10,))</f>
        <v>#REF!</v>
      </c>
      <c r="AI134" s="439" t="e">
        <f ca="1">(OFFSET($B$5,SUM($W$6:$W134)-1,)-OFFSET($B$5,SUM($W$6:$W134)-2,))+(OFFSET($B$5,SUM($W$6:$W134)-3,)-OFFSET($B$5,SUM($W$6:$W134)-4,))+(OFFSET($B$5,SUM($W$6:$W134)-5,)-OFFSET($B$5,SUM($W$6:$W134)-6,))+(OFFSET($B$5,SUM($W$6:$W134)-7,)-OFFSET($B$5,SUM($W$6:$W134)-8,))</f>
        <v>#REF!</v>
      </c>
      <c r="AJ134" s="439" t="e">
        <f ca="1">(OFFSET($B$5,SUM($W$6:$W134)-1,)-OFFSET($B$5,SUM($W$6:$W134)-2,))+(OFFSET($B$5,SUM($W$6:$W134)-3,)-OFFSET($B$5,SUM($W$6:$W134)-4,))+(OFFSET($B$5,SUM($W$6:$W134)-5,)-OFFSET($B$5,SUM($W$6:$W134)-6,))</f>
        <v>#REF!</v>
      </c>
      <c r="AK134" s="439">
        <f ca="1">(OFFSET($B$5,SUM($W$6:$W134)-1,)-OFFSET($B$5,SUM($W$6:$W134)-2,))+(OFFSET($B$5,SUM($W$6:$W134)-3,)-OFFSET($B$5,SUM($W$6:$W134)-4,))</f>
        <v>0</v>
      </c>
      <c r="AL134" s="439">
        <f ca="1">(OFFSET($B$5,SUM($W$6:$W134)-1,)-OFFSET($B$5,SUM($W$6:$W134)-2,))</f>
        <v>0</v>
      </c>
      <c r="AM134" s="433">
        <v>5.3333333333333304</v>
      </c>
    </row>
    <row r="135" spans="6:39" x14ac:dyDescent="0.25">
      <c r="F135" s="376">
        <v>44506</v>
      </c>
      <c r="G135" s="370">
        <f t="shared" si="85"/>
        <v>44506</v>
      </c>
      <c r="H135" s="388">
        <f t="shared" si="86"/>
        <v>0</v>
      </c>
      <c r="I135" s="388">
        <f t="shared" ca="1" si="87"/>
        <v>-0.33333333333333331</v>
      </c>
      <c r="J135" s="386">
        <f t="shared" ref="J135" ca="1" si="92">I135+J134</f>
        <v>-1</v>
      </c>
      <c r="K135" s="163"/>
      <c r="L135" s="59"/>
      <c r="T135" s="438">
        <f t="shared" si="88"/>
        <v>0</v>
      </c>
      <c r="U135" s="439" t="b">
        <f t="shared" si="89"/>
        <v>0</v>
      </c>
      <c r="V135" s="440" t="b">
        <f t="shared" si="90"/>
        <v>0</v>
      </c>
      <c r="W135" s="437">
        <f t="shared" si="91"/>
        <v>0</v>
      </c>
      <c r="X135" s="439">
        <f t="shared" ref="X135:X190" si="93">IF(W135=12,AB135,IF(W135=10,AC135,IF(W135=8,AD135,IF(W135=6,AE135,IF(W135=4,AF135,IF(W135=2,AG135,$U$1))))))</f>
        <v>0</v>
      </c>
      <c r="Y135" s="439">
        <f t="shared" ref="Y135:Y190" si="94">IF(W135=12,AH135,IF(W135=10,AI135,IF(W135=8,AJ135,IF(W135=6,AK135,IF(W135=4,AL135,IF(W135=2,AM135,$U$1))))))</f>
        <v>0</v>
      </c>
      <c r="Z135" s="439">
        <f t="shared" si="67"/>
        <v>0</v>
      </c>
      <c r="AA135" s="439" t="e">
        <f ca="1">(OFFSET($B$5,SUM($W$6:$W135),)-OFFSET($B$5,(SUM($W$6:$W135)-SUM($W135:$W135)+1),))</f>
        <v>#VALUE!</v>
      </c>
      <c r="AB135" s="439" t="e">
        <f ca="1">(OFFSET($B$5,SUM($W$6:$W135),)-OFFSET($B$5,SUM($W$6:$W135)-1,))+(OFFSET($B$5,SUM($W$6:$W135)-2,)-OFFSET($B$5,SUM($W$6:$W135)-3,))+(OFFSET($B$5,SUM($W$6:$W135)-4,)-OFFSET($B$5,SUM($W$6:$W135)-5,))+(OFFSET($B$5,SUM($W$6:$W135)-6,)-OFFSET($B$5,SUM($W$6:$W135)-7,))+(OFFSET($B$5,SUM($W$6:$W135)-8,)-OFFSET($B$5,SUM($W$6:$W135)-9,))+(OFFSET($B$5,SUM($W$6:$W135)-10,)-OFFSET($B$5,SUM($W$6:$W135)-11,))</f>
        <v>#VALUE!</v>
      </c>
      <c r="AC135" s="439" t="e">
        <f ca="1">(OFFSET($B$5,SUM($W$6:$W135),)-OFFSET($B$5,SUM($W$6:$W135)-1,))+(OFFSET($B$5,SUM($W$6:$W135)-2,)-OFFSET($B$5,SUM($W$6:$W135)-3,))+(OFFSET($B$5,SUM($W$6:$W135)-4,)-OFFSET($B$5,SUM($W$6:$W135)-5,))+(OFFSET($B$5,SUM($W$6:$W135)-6,)-OFFSET($B$5,SUM($W$6:$W135)-7,))+(OFFSET($B$5,SUM($W$6:$W135)-8,)-OFFSET($B$5,SUM($W$6:$W135)-9,))</f>
        <v>#VALUE!</v>
      </c>
      <c r="AD135" s="439" t="e">
        <f ca="1">(OFFSET($B$5,SUM($W$6:$W135),)-OFFSET($B$5,SUM($W$6:$W135)-1,))+(OFFSET($B$5,SUM($W$6:$W135)-2,)-OFFSET($B$5,SUM($W$6:$W135)-3,))+(OFFSET($B$5,SUM($W$6:$W135)-4,)-OFFSET($B$5,SUM($W$6:$W135)-5,))+(OFFSET($B$5,SUM($W$6:$W135)-6,)-OFFSET($B$5,SUM($W$6:$W135)-7,))</f>
        <v>#VALUE!</v>
      </c>
      <c r="AE135" s="439" t="e">
        <f ca="1">(OFFSET($B$5,SUM($W$6:$W135),)-OFFSET($B$5,SUM($W$6:$W135)-1,))+(OFFSET($B$5,SUM($W$6:$W135)-2,)-OFFSET($B$5,SUM($W$6:$W135)-3,))+(OFFSET($B$5,SUM($W$6:$W135)-4,)-OFFSET($B$5,SUM($W$6:$W135)-5,))</f>
        <v>#VALUE!</v>
      </c>
      <c r="AF135" s="439" t="e">
        <f ca="1">(OFFSET($B$5,SUM($W$6:$W135),)-OFFSET($B$5,SUM($W$6:$W135)-1,))+(OFFSET($B$5,SUM($W$6:$W135)-2,)-OFFSET($B$5,SUM($W$6:$W135)-3,))</f>
        <v>#VALUE!</v>
      </c>
      <c r="AG135" s="439" t="e">
        <f ca="1">(OFFSET($B$5,SUM($W$6:$W135),)-OFFSET($B$5,SUM($W$6:$W135)-1,))</f>
        <v>#VALUE!</v>
      </c>
      <c r="AH135" s="439" t="e">
        <f ca="1">(OFFSET($B$5,SUM($W$6:$W135)-1,)-OFFSET($B$5,SUM($W$6:$W135)-2,))+(OFFSET($B$5,SUM($W$6:$W135)-3,)-OFFSET($B$5,SUM($W$6:$W135)-4,))+(OFFSET($B$5,SUM($W$6:$W135)-5,)-OFFSET($B$5,SUM($W$6:$W135)-6,))+(OFFSET($B$5,SUM($W$6:$W135)-7,)-OFFSET($B$5,SUM($W$6:$W135)-8,))+(OFFSET($B$5,SUM($W$6:$W135)-9,)-OFFSET($B$5,SUM($W$6:$W135)-10,))</f>
        <v>#REF!</v>
      </c>
      <c r="AI135" s="439" t="e">
        <f ca="1">(OFFSET($B$5,SUM($W$6:$W135)-1,)-OFFSET($B$5,SUM($W$6:$W135)-2,))+(OFFSET($B$5,SUM($W$6:$W135)-3,)-OFFSET($B$5,SUM($W$6:$W135)-4,))+(OFFSET($B$5,SUM($W$6:$W135)-5,)-OFFSET($B$5,SUM($W$6:$W135)-6,))+(OFFSET($B$5,SUM($W$6:$W135)-7,)-OFFSET($B$5,SUM($W$6:$W135)-8,))</f>
        <v>#REF!</v>
      </c>
      <c r="AJ135" s="439" t="e">
        <f ca="1">(OFFSET($B$5,SUM($W$6:$W135)-1,)-OFFSET($B$5,SUM($W$6:$W135)-2,))+(OFFSET($B$5,SUM($W$6:$W135)-3,)-OFFSET($B$5,SUM($W$6:$W135)-4,))+(OFFSET($B$5,SUM($W$6:$W135)-5,)-OFFSET($B$5,SUM($W$6:$W135)-6,))</f>
        <v>#REF!</v>
      </c>
      <c r="AK135" s="439">
        <f ca="1">(OFFSET($B$5,SUM($W$6:$W135)-1,)-OFFSET($B$5,SUM($W$6:$W135)-2,))+(OFFSET($B$5,SUM($W$6:$W135)-3,)-OFFSET($B$5,SUM($W$6:$W135)-4,))</f>
        <v>0</v>
      </c>
      <c r="AL135" s="439">
        <f ca="1">(OFFSET($B$5,SUM($W$6:$W135)-1,)-OFFSET($B$5,SUM($W$6:$W135)-2,))</f>
        <v>0</v>
      </c>
      <c r="AM135" s="433">
        <v>5.375</v>
      </c>
    </row>
    <row r="136" spans="6:39" x14ac:dyDescent="0.25">
      <c r="F136" s="376">
        <v>44507</v>
      </c>
      <c r="G136" s="404">
        <f t="shared" si="85"/>
        <v>44507</v>
      </c>
      <c r="H136" s="389"/>
      <c r="I136" s="389"/>
      <c r="J136" s="389"/>
      <c r="K136" s="163"/>
      <c r="L136" s="59"/>
      <c r="T136" s="438">
        <f t="shared" si="88"/>
        <v>0</v>
      </c>
      <c r="U136" s="439" t="b">
        <f t="shared" si="89"/>
        <v>0</v>
      </c>
      <c r="V136" s="440" t="b">
        <f t="shared" si="90"/>
        <v>0</v>
      </c>
      <c r="W136" s="437">
        <f t="shared" si="91"/>
        <v>0</v>
      </c>
      <c r="X136" s="439">
        <f t="shared" si="93"/>
        <v>0</v>
      </c>
      <c r="Y136" s="439">
        <f t="shared" si="94"/>
        <v>0</v>
      </c>
      <c r="Z136" s="439">
        <f t="shared" si="67"/>
        <v>0</v>
      </c>
      <c r="AA136" s="439" t="e">
        <f ca="1">(OFFSET($B$5,SUM($W$6:$W136),)-OFFSET($B$5,(SUM($W$6:$W136)-SUM($W136:$W136)+1),))</f>
        <v>#VALUE!</v>
      </c>
      <c r="AB136" s="439" t="e">
        <f ca="1">(OFFSET($B$5,SUM($W$6:$W136),)-OFFSET($B$5,SUM($W$6:$W136)-1,))+(OFFSET($B$5,SUM($W$6:$W136)-2,)-OFFSET($B$5,SUM($W$6:$W136)-3,))+(OFFSET($B$5,SUM($W$6:$W136)-4,)-OFFSET($B$5,SUM($W$6:$W136)-5,))+(OFFSET($B$5,SUM($W$6:$W136)-6,)-OFFSET($B$5,SUM($W$6:$W136)-7,))+(OFFSET($B$5,SUM($W$6:$W136)-8,)-OFFSET($B$5,SUM($W$6:$W136)-9,))+(OFFSET($B$5,SUM($W$6:$W136)-10,)-OFFSET($B$5,SUM($W$6:$W136)-11,))</f>
        <v>#VALUE!</v>
      </c>
      <c r="AC136" s="439" t="e">
        <f ca="1">(OFFSET($B$5,SUM($W$6:$W136),)-OFFSET($B$5,SUM($W$6:$W136)-1,))+(OFFSET($B$5,SUM($W$6:$W136)-2,)-OFFSET($B$5,SUM($W$6:$W136)-3,))+(OFFSET($B$5,SUM($W$6:$W136)-4,)-OFFSET($B$5,SUM($W$6:$W136)-5,))+(OFFSET($B$5,SUM($W$6:$W136)-6,)-OFFSET($B$5,SUM($W$6:$W136)-7,))+(OFFSET($B$5,SUM($W$6:$W136)-8,)-OFFSET($B$5,SUM($W$6:$W136)-9,))</f>
        <v>#VALUE!</v>
      </c>
      <c r="AD136" s="439" t="e">
        <f ca="1">(OFFSET($B$5,SUM($W$6:$W136),)-OFFSET($B$5,SUM($W$6:$W136)-1,))+(OFFSET($B$5,SUM($W$6:$W136)-2,)-OFFSET($B$5,SUM($W$6:$W136)-3,))+(OFFSET($B$5,SUM($W$6:$W136)-4,)-OFFSET($B$5,SUM($W$6:$W136)-5,))+(OFFSET($B$5,SUM($W$6:$W136)-6,)-OFFSET($B$5,SUM($W$6:$W136)-7,))</f>
        <v>#VALUE!</v>
      </c>
      <c r="AE136" s="439" t="e">
        <f ca="1">(OFFSET($B$5,SUM($W$6:$W136),)-OFFSET($B$5,SUM($W$6:$W136)-1,))+(OFFSET($B$5,SUM($W$6:$W136)-2,)-OFFSET($B$5,SUM($W$6:$W136)-3,))+(OFFSET($B$5,SUM($W$6:$W136)-4,)-OFFSET($B$5,SUM($W$6:$W136)-5,))</f>
        <v>#VALUE!</v>
      </c>
      <c r="AF136" s="439" t="e">
        <f ca="1">(OFFSET($B$5,SUM($W$6:$W136),)-OFFSET($B$5,SUM($W$6:$W136)-1,))+(OFFSET($B$5,SUM($W$6:$W136)-2,)-OFFSET($B$5,SUM($W$6:$W136)-3,))</f>
        <v>#VALUE!</v>
      </c>
      <c r="AG136" s="439" t="e">
        <f ca="1">(OFFSET($B$5,SUM($W$6:$W136),)-OFFSET($B$5,SUM($W$6:$W136)-1,))</f>
        <v>#VALUE!</v>
      </c>
      <c r="AH136" s="439" t="e">
        <f ca="1">(OFFSET($B$5,SUM($W$6:$W136)-1,)-OFFSET($B$5,SUM($W$6:$W136)-2,))+(OFFSET($B$5,SUM($W$6:$W136)-3,)-OFFSET($B$5,SUM($W$6:$W136)-4,))+(OFFSET($B$5,SUM($W$6:$W136)-5,)-OFFSET($B$5,SUM($W$6:$W136)-6,))+(OFFSET($B$5,SUM($W$6:$W136)-7,)-OFFSET($B$5,SUM($W$6:$W136)-8,))+(OFFSET($B$5,SUM($W$6:$W136)-9,)-OFFSET($B$5,SUM($W$6:$W136)-10,))</f>
        <v>#REF!</v>
      </c>
      <c r="AI136" s="439" t="e">
        <f ca="1">(OFFSET($B$5,SUM($W$6:$W136)-1,)-OFFSET($B$5,SUM($W$6:$W136)-2,))+(OFFSET($B$5,SUM($W$6:$W136)-3,)-OFFSET($B$5,SUM($W$6:$W136)-4,))+(OFFSET($B$5,SUM($W$6:$W136)-5,)-OFFSET($B$5,SUM($W$6:$W136)-6,))+(OFFSET($B$5,SUM($W$6:$W136)-7,)-OFFSET($B$5,SUM($W$6:$W136)-8,))</f>
        <v>#REF!</v>
      </c>
      <c r="AJ136" s="439" t="e">
        <f ca="1">(OFFSET($B$5,SUM($W$6:$W136)-1,)-OFFSET($B$5,SUM($W$6:$W136)-2,))+(OFFSET($B$5,SUM($W$6:$W136)-3,)-OFFSET($B$5,SUM($W$6:$W136)-4,))+(OFFSET($B$5,SUM($W$6:$W136)-5,)-OFFSET($B$5,SUM($W$6:$W136)-6,))</f>
        <v>#REF!</v>
      </c>
      <c r="AK136" s="439">
        <f ca="1">(OFFSET($B$5,SUM($W$6:$W136)-1,)-OFFSET($B$5,SUM($W$6:$W136)-2,))+(OFFSET($B$5,SUM($W$6:$W136)-3,)-OFFSET($B$5,SUM($W$6:$W136)-4,))</f>
        <v>0</v>
      </c>
      <c r="AL136" s="439">
        <f ca="1">(OFFSET($B$5,SUM($W$6:$W136)-1,)-OFFSET($B$5,SUM($W$6:$W136)-2,))</f>
        <v>0</v>
      </c>
      <c r="AM136" s="433">
        <v>5.4166666666666696</v>
      </c>
    </row>
    <row r="137" spans="6:39" x14ac:dyDescent="0.25">
      <c r="F137" s="376">
        <v>44508</v>
      </c>
      <c r="G137" s="404">
        <f t="shared" si="85"/>
        <v>44508</v>
      </c>
      <c r="H137" s="389"/>
      <c r="I137" s="389"/>
      <c r="J137" s="389"/>
      <c r="K137" s="163"/>
      <c r="L137" s="59"/>
      <c r="T137" s="438">
        <f t="shared" si="88"/>
        <v>0</v>
      </c>
      <c r="U137" s="439" t="b">
        <f t="shared" si="89"/>
        <v>0</v>
      </c>
      <c r="V137" s="440" t="b">
        <f t="shared" si="90"/>
        <v>0</v>
      </c>
      <c r="W137" s="437">
        <f t="shared" si="91"/>
        <v>0</v>
      </c>
      <c r="X137" s="439">
        <f t="shared" si="93"/>
        <v>0</v>
      </c>
      <c r="Y137" s="439">
        <f t="shared" si="94"/>
        <v>0</v>
      </c>
      <c r="Z137" s="439">
        <f t="shared" si="67"/>
        <v>0</v>
      </c>
      <c r="AA137" s="439" t="e">
        <f ca="1">(OFFSET($B$5,SUM($W$6:$W137),)-OFFSET($B$5,(SUM($W$6:$W137)-SUM($W137:$W137)+1),))</f>
        <v>#VALUE!</v>
      </c>
      <c r="AB137" s="439" t="e">
        <f ca="1">(OFFSET($B$5,SUM($W$6:$W137),)-OFFSET($B$5,SUM($W$6:$W137)-1,))+(OFFSET($B$5,SUM($W$6:$W137)-2,)-OFFSET($B$5,SUM($W$6:$W137)-3,))+(OFFSET($B$5,SUM($W$6:$W137)-4,)-OFFSET($B$5,SUM($W$6:$W137)-5,))+(OFFSET($B$5,SUM($W$6:$W137)-6,)-OFFSET($B$5,SUM($W$6:$W137)-7,))+(OFFSET($B$5,SUM($W$6:$W137)-8,)-OFFSET($B$5,SUM($W$6:$W137)-9,))+(OFFSET($B$5,SUM($W$6:$W137)-10,)-OFFSET($B$5,SUM($W$6:$W137)-11,))</f>
        <v>#VALUE!</v>
      </c>
      <c r="AC137" s="439" t="e">
        <f ca="1">(OFFSET($B$5,SUM($W$6:$W137),)-OFFSET($B$5,SUM($W$6:$W137)-1,))+(OFFSET($B$5,SUM($W$6:$W137)-2,)-OFFSET($B$5,SUM($W$6:$W137)-3,))+(OFFSET($B$5,SUM($W$6:$W137)-4,)-OFFSET($B$5,SUM($W$6:$W137)-5,))+(OFFSET($B$5,SUM($W$6:$W137)-6,)-OFFSET($B$5,SUM($W$6:$W137)-7,))+(OFFSET($B$5,SUM($W$6:$W137)-8,)-OFFSET($B$5,SUM($W$6:$W137)-9,))</f>
        <v>#VALUE!</v>
      </c>
      <c r="AD137" s="439" t="e">
        <f ca="1">(OFFSET($B$5,SUM($W$6:$W137),)-OFFSET($B$5,SUM($W$6:$W137)-1,))+(OFFSET($B$5,SUM($W$6:$W137)-2,)-OFFSET($B$5,SUM($W$6:$W137)-3,))+(OFFSET($B$5,SUM($W$6:$W137)-4,)-OFFSET($B$5,SUM($W$6:$W137)-5,))+(OFFSET($B$5,SUM($W$6:$W137)-6,)-OFFSET($B$5,SUM($W$6:$W137)-7,))</f>
        <v>#VALUE!</v>
      </c>
      <c r="AE137" s="439" t="e">
        <f ca="1">(OFFSET($B$5,SUM($W$6:$W137),)-OFFSET($B$5,SUM($W$6:$W137)-1,))+(OFFSET($B$5,SUM($W$6:$W137)-2,)-OFFSET($B$5,SUM($W$6:$W137)-3,))+(OFFSET($B$5,SUM($W$6:$W137)-4,)-OFFSET($B$5,SUM($W$6:$W137)-5,))</f>
        <v>#VALUE!</v>
      </c>
      <c r="AF137" s="439" t="e">
        <f ca="1">(OFFSET($B$5,SUM($W$6:$W137),)-OFFSET($B$5,SUM($W$6:$W137)-1,))+(OFFSET($B$5,SUM($W$6:$W137)-2,)-OFFSET($B$5,SUM($W$6:$W137)-3,))</f>
        <v>#VALUE!</v>
      </c>
      <c r="AG137" s="439" t="e">
        <f ca="1">(OFFSET($B$5,SUM($W$6:$W137),)-OFFSET($B$5,SUM($W$6:$W137)-1,))</f>
        <v>#VALUE!</v>
      </c>
      <c r="AH137" s="439" t="e">
        <f ca="1">(OFFSET($B$5,SUM($W$6:$W137)-1,)-OFFSET($B$5,SUM($W$6:$W137)-2,))+(OFFSET($B$5,SUM($W$6:$W137)-3,)-OFFSET($B$5,SUM($W$6:$W137)-4,))+(OFFSET($B$5,SUM($W$6:$W137)-5,)-OFFSET($B$5,SUM($W$6:$W137)-6,))+(OFFSET($B$5,SUM($W$6:$W137)-7,)-OFFSET($B$5,SUM($W$6:$W137)-8,))+(OFFSET($B$5,SUM($W$6:$W137)-9,)-OFFSET($B$5,SUM($W$6:$W137)-10,))</f>
        <v>#REF!</v>
      </c>
      <c r="AI137" s="439" t="e">
        <f ca="1">(OFFSET($B$5,SUM($W$6:$W137)-1,)-OFFSET($B$5,SUM($W$6:$W137)-2,))+(OFFSET($B$5,SUM($W$6:$W137)-3,)-OFFSET($B$5,SUM($W$6:$W137)-4,))+(OFFSET($B$5,SUM($W$6:$W137)-5,)-OFFSET($B$5,SUM($W$6:$W137)-6,))+(OFFSET($B$5,SUM($W$6:$W137)-7,)-OFFSET($B$5,SUM($W$6:$W137)-8,))</f>
        <v>#REF!</v>
      </c>
      <c r="AJ137" s="439" t="e">
        <f ca="1">(OFFSET($B$5,SUM($W$6:$W137)-1,)-OFFSET($B$5,SUM($W$6:$W137)-2,))+(OFFSET($B$5,SUM($W$6:$W137)-3,)-OFFSET($B$5,SUM($W$6:$W137)-4,))+(OFFSET($B$5,SUM($W$6:$W137)-5,)-OFFSET($B$5,SUM($W$6:$W137)-6,))</f>
        <v>#REF!</v>
      </c>
      <c r="AK137" s="439">
        <f ca="1">(OFFSET($B$5,SUM($W$6:$W137)-1,)-OFFSET($B$5,SUM($W$6:$W137)-2,))+(OFFSET($B$5,SUM($W$6:$W137)-3,)-OFFSET($B$5,SUM($W$6:$W137)-4,))</f>
        <v>0</v>
      </c>
      <c r="AL137" s="439">
        <f ca="1">(OFFSET($B$5,SUM($W$6:$W137)-1,)-OFFSET($B$5,SUM($W$6:$W137)-2,))</f>
        <v>0</v>
      </c>
      <c r="AM137" s="433">
        <v>5.4583333333333304</v>
      </c>
    </row>
    <row r="138" spans="6:39" x14ac:dyDescent="0.25">
      <c r="F138" s="376">
        <v>44509</v>
      </c>
      <c r="G138" s="370">
        <f t="shared" si="85"/>
        <v>44509</v>
      </c>
      <c r="H138" s="388">
        <f t="shared" ref="H138:H142" si="95">X138</f>
        <v>0</v>
      </c>
      <c r="I138" s="388">
        <f t="shared" ref="I138:I142" ca="1" si="96">IFERROR(H138+T138+OFFSET($L$130,MATCH(F138,$K$131:$K$159,0),0)-$W$2,H138-$W$2)</f>
        <v>-0.33333333333333331</v>
      </c>
      <c r="J138" s="386">
        <f ca="1">I138+J135</f>
        <v>-1.3333333333333333</v>
      </c>
      <c r="K138" s="163"/>
      <c r="L138" s="59"/>
      <c r="T138" s="438">
        <f t="shared" si="88"/>
        <v>0</v>
      </c>
      <c r="U138" s="439" t="b">
        <f t="shared" si="89"/>
        <v>0</v>
      </c>
      <c r="V138" s="440" t="b">
        <f t="shared" si="90"/>
        <v>0</v>
      </c>
      <c r="W138" s="437">
        <f t="shared" si="91"/>
        <v>0</v>
      </c>
      <c r="X138" s="439">
        <f t="shared" si="93"/>
        <v>0</v>
      </c>
      <c r="Y138" s="439">
        <f t="shared" si="94"/>
        <v>0</v>
      </c>
      <c r="Z138" s="439">
        <f t="shared" si="67"/>
        <v>0</v>
      </c>
      <c r="AA138" s="439" t="e">
        <f ca="1">(OFFSET($B$5,SUM($W$6:$W138),)-OFFSET($B$5,(SUM($W$6:$W138)-SUM($W138:$W138)+1),))</f>
        <v>#VALUE!</v>
      </c>
      <c r="AB138" s="439" t="e">
        <f ca="1">(OFFSET($B$5,SUM($W$6:$W138),)-OFFSET($B$5,SUM($W$6:$W138)-1,))+(OFFSET($B$5,SUM($W$6:$W138)-2,)-OFFSET($B$5,SUM($W$6:$W138)-3,))+(OFFSET($B$5,SUM($W$6:$W138)-4,)-OFFSET($B$5,SUM($W$6:$W138)-5,))+(OFFSET($B$5,SUM($W$6:$W138)-6,)-OFFSET($B$5,SUM($W$6:$W138)-7,))+(OFFSET($B$5,SUM($W$6:$W138)-8,)-OFFSET($B$5,SUM($W$6:$W138)-9,))+(OFFSET($B$5,SUM($W$6:$W138)-10,)-OFFSET($B$5,SUM($W$6:$W138)-11,))</f>
        <v>#VALUE!</v>
      </c>
      <c r="AC138" s="439" t="e">
        <f ca="1">(OFFSET($B$5,SUM($W$6:$W138),)-OFFSET($B$5,SUM($W$6:$W138)-1,))+(OFFSET($B$5,SUM($W$6:$W138)-2,)-OFFSET($B$5,SUM($W$6:$W138)-3,))+(OFFSET($B$5,SUM($W$6:$W138)-4,)-OFFSET($B$5,SUM($W$6:$W138)-5,))+(OFFSET($B$5,SUM($W$6:$W138)-6,)-OFFSET($B$5,SUM($W$6:$W138)-7,))+(OFFSET($B$5,SUM($W$6:$W138)-8,)-OFFSET($B$5,SUM($W$6:$W138)-9,))</f>
        <v>#VALUE!</v>
      </c>
      <c r="AD138" s="439" t="e">
        <f ca="1">(OFFSET($B$5,SUM($W$6:$W138),)-OFFSET($B$5,SUM($W$6:$W138)-1,))+(OFFSET($B$5,SUM($W$6:$W138)-2,)-OFFSET($B$5,SUM($W$6:$W138)-3,))+(OFFSET($B$5,SUM($W$6:$W138)-4,)-OFFSET($B$5,SUM($W$6:$W138)-5,))+(OFFSET($B$5,SUM($W$6:$W138)-6,)-OFFSET($B$5,SUM($W$6:$W138)-7,))</f>
        <v>#VALUE!</v>
      </c>
      <c r="AE138" s="439" t="e">
        <f ca="1">(OFFSET($B$5,SUM($W$6:$W138),)-OFFSET($B$5,SUM($W$6:$W138)-1,))+(OFFSET($B$5,SUM($W$6:$W138)-2,)-OFFSET($B$5,SUM($W$6:$W138)-3,))+(OFFSET($B$5,SUM($W$6:$W138)-4,)-OFFSET($B$5,SUM($W$6:$W138)-5,))</f>
        <v>#VALUE!</v>
      </c>
      <c r="AF138" s="439" t="e">
        <f ca="1">(OFFSET($B$5,SUM($W$6:$W138),)-OFFSET($B$5,SUM($W$6:$W138)-1,))+(OFFSET($B$5,SUM($W$6:$W138)-2,)-OFFSET($B$5,SUM($W$6:$W138)-3,))</f>
        <v>#VALUE!</v>
      </c>
      <c r="AG138" s="439" t="e">
        <f ca="1">(OFFSET($B$5,SUM($W$6:$W138),)-OFFSET($B$5,SUM($W$6:$W138)-1,))</f>
        <v>#VALUE!</v>
      </c>
      <c r="AH138" s="439" t="e">
        <f ca="1">(OFFSET($B$5,SUM($W$6:$W138)-1,)-OFFSET($B$5,SUM($W$6:$W138)-2,))+(OFFSET($B$5,SUM($W$6:$W138)-3,)-OFFSET($B$5,SUM($W$6:$W138)-4,))+(OFFSET($B$5,SUM($W$6:$W138)-5,)-OFFSET($B$5,SUM($W$6:$W138)-6,))+(OFFSET($B$5,SUM($W$6:$W138)-7,)-OFFSET($B$5,SUM($W$6:$W138)-8,))+(OFFSET($B$5,SUM($W$6:$W138)-9,)-OFFSET($B$5,SUM($W$6:$W138)-10,))</f>
        <v>#REF!</v>
      </c>
      <c r="AI138" s="439" t="e">
        <f ca="1">(OFFSET($B$5,SUM($W$6:$W138)-1,)-OFFSET($B$5,SUM($W$6:$W138)-2,))+(OFFSET($B$5,SUM($W$6:$W138)-3,)-OFFSET($B$5,SUM($W$6:$W138)-4,))+(OFFSET($B$5,SUM($W$6:$W138)-5,)-OFFSET($B$5,SUM($W$6:$W138)-6,))+(OFFSET($B$5,SUM($W$6:$W138)-7,)-OFFSET($B$5,SUM($W$6:$W138)-8,))</f>
        <v>#REF!</v>
      </c>
      <c r="AJ138" s="439" t="e">
        <f ca="1">(OFFSET($B$5,SUM($W$6:$W138)-1,)-OFFSET($B$5,SUM($W$6:$W138)-2,))+(OFFSET($B$5,SUM($W$6:$W138)-3,)-OFFSET($B$5,SUM($W$6:$W138)-4,))+(OFFSET($B$5,SUM($W$6:$W138)-5,)-OFFSET($B$5,SUM($W$6:$W138)-6,))</f>
        <v>#REF!</v>
      </c>
      <c r="AK138" s="439">
        <f ca="1">(OFFSET($B$5,SUM($W$6:$W138)-1,)-OFFSET($B$5,SUM($W$6:$W138)-2,))+(OFFSET($B$5,SUM($W$6:$W138)-3,)-OFFSET($B$5,SUM($W$6:$W138)-4,))</f>
        <v>0</v>
      </c>
      <c r="AL138" s="439">
        <f ca="1">(OFFSET($B$5,SUM($W$6:$W138)-1,)-OFFSET($B$5,SUM($W$6:$W138)-2,))</f>
        <v>0</v>
      </c>
      <c r="AM138" s="433">
        <v>5.5</v>
      </c>
    </row>
    <row r="139" spans="6:39" x14ac:dyDescent="0.25">
      <c r="F139" s="376">
        <v>44510</v>
      </c>
      <c r="G139" s="370">
        <f t="shared" si="85"/>
        <v>44510</v>
      </c>
      <c r="H139" s="388">
        <f t="shared" si="95"/>
        <v>0</v>
      </c>
      <c r="I139" s="388">
        <f t="shared" ca="1" si="96"/>
        <v>-0.33333333333333331</v>
      </c>
      <c r="J139" s="386">
        <f ca="1">I139+J138</f>
        <v>-1.6666666666666665</v>
      </c>
      <c r="K139" s="163"/>
      <c r="L139" s="59"/>
      <c r="T139" s="438">
        <f t="shared" si="88"/>
        <v>0</v>
      </c>
      <c r="U139" s="439" t="b">
        <f t="shared" si="89"/>
        <v>0</v>
      </c>
      <c r="V139" s="440" t="b">
        <f t="shared" si="90"/>
        <v>0</v>
      </c>
      <c r="W139" s="437">
        <f t="shared" si="91"/>
        <v>0</v>
      </c>
      <c r="X139" s="439">
        <f t="shared" si="93"/>
        <v>0</v>
      </c>
      <c r="Y139" s="439">
        <f t="shared" si="94"/>
        <v>0</v>
      </c>
      <c r="Z139" s="439">
        <f t="shared" si="67"/>
        <v>0</v>
      </c>
      <c r="AA139" s="439" t="e">
        <f ca="1">(OFFSET($B$5,SUM($W$6:$W139),)-OFFSET($B$5,(SUM($W$6:$W139)-SUM($W139:$W139)+1),))</f>
        <v>#VALUE!</v>
      </c>
      <c r="AB139" s="439" t="e">
        <f ca="1">(OFFSET($B$5,SUM($W$6:$W139),)-OFFSET($B$5,SUM($W$6:$W139)-1,))+(OFFSET($B$5,SUM($W$6:$W139)-2,)-OFFSET($B$5,SUM($W$6:$W139)-3,))+(OFFSET($B$5,SUM($W$6:$W139)-4,)-OFFSET($B$5,SUM($W$6:$W139)-5,))+(OFFSET($B$5,SUM($W$6:$W139)-6,)-OFFSET($B$5,SUM($W$6:$W139)-7,))+(OFFSET($B$5,SUM($W$6:$W139)-8,)-OFFSET($B$5,SUM($W$6:$W139)-9,))+(OFFSET($B$5,SUM($W$6:$W139)-10,)-OFFSET($B$5,SUM($W$6:$W139)-11,))</f>
        <v>#VALUE!</v>
      </c>
      <c r="AC139" s="439" t="e">
        <f ca="1">(OFFSET($B$5,SUM($W$6:$W139),)-OFFSET($B$5,SUM($W$6:$W139)-1,))+(OFFSET($B$5,SUM($W$6:$W139)-2,)-OFFSET($B$5,SUM($W$6:$W139)-3,))+(OFFSET($B$5,SUM($W$6:$W139)-4,)-OFFSET($B$5,SUM($W$6:$W139)-5,))+(OFFSET($B$5,SUM($W$6:$W139)-6,)-OFFSET($B$5,SUM($W$6:$W139)-7,))+(OFFSET($B$5,SUM($W$6:$W139)-8,)-OFFSET($B$5,SUM($W$6:$W139)-9,))</f>
        <v>#VALUE!</v>
      </c>
      <c r="AD139" s="439" t="e">
        <f ca="1">(OFFSET($B$5,SUM($W$6:$W139),)-OFFSET($B$5,SUM($W$6:$W139)-1,))+(OFFSET($B$5,SUM($W$6:$W139)-2,)-OFFSET($B$5,SUM($W$6:$W139)-3,))+(OFFSET($B$5,SUM($W$6:$W139)-4,)-OFFSET($B$5,SUM($W$6:$W139)-5,))+(OFFSET($B$5,SUM($W$6:$W139)-6,)-OFFSET($B$5,SUM($W$6:$W139)-7,))</f>
        <v>#VALUE!</v>
      </c>
      <c r="AE139" s="439" t="e">
        <f ca="1">(OFFSET($B$5,SUM($W$6:$W139),)-OFFSET($B$5,SUM($W$6:$W139)-1,))+(OFFSET($B$5,SUM($W$6:$W139)-2,)-OFFSET($B$5,SUM($W$6:$W139)-3,))+(OFFSET($B$5,SUM($W$6:$W139)-4,)-OFFSET($B$5,SUM($W$6:$W139)-5,))</f>
        <v>#VALUE!</v>
      </c>
      <c r="AF139" s="439" t="e">
        <f ca="1">(OFFSET($B$5,SUM($W$6:$W139),)-OFFSET($B$5,SUM($W$6:$W139)-1,))+(OFFSET($B$5,SUM($W$6:$W139)-2,)-OFFSET($B$5,SUM($W$6:$W139)-3,))</f>
        <v>#VALUE!</v>
      </c>
      <c r="AG139" s="439" t="e">
        <f ca="1">(OFFSET($B$5,SUM($W$6:$W139),)-OFFSET($B$5,SUM($W$6:$W139)-1,))</f>
        <v>#VALUE!</v>
      </c>
      <c r="AH139" s="439" t="e">
        <f ca="1">(OFFSET($B$5,SUM($W$6:$W139)-1,)-OFFSET($B$5,SUM($W$6:$W139)-2,))+(OFFSET($B$5,SUM($W$6:$W139)-3,)-OFFSET($B$5,SUM($W$6:$W139)-4,))+(OFFSET($B$5,SUM($W$6:$W139)-5,)-OFFSET($B$5,SUM($W$6:$W139)-6,))+(OFFSET($B$5,SUM($W$6:$W139)-7,)-OFFSET($B$5,SUM($W$6:$W139)-8,))+(OFFSET($B$5,SUM($W$6:$W139)-9,)-OFFSET($B$5,SUM($W$6:$W139)-10,))</f>
        <v>#REF!</v>
      </c>
      <c r="AI139" s="439" t="e">
        <f ca="1">(OFFSET($B$5,SUM($W$6:$W139)-1,)-OFFSET($B$5,SUM($W$6:$W139)-2,))+(OFFSET($B$5,SUM($W$6:$W139)-3,)-OFFSET($B$5,SUM($W$6:$W139)-4,))+(OFFSET($B$5,SUM($W$6:$W139)-5,)-OFFSET($B$5,SUM($W$6:$W139)-6,))+(OFFSET($B$5,SUM($W$6:$W139)-7,)-OFFSET($B$5,SUM($W$6:$W139)-8,))</f>
        <v>#REF!</v>
      </c>
      <c r="AJ139" s="439" t="e">
        <f ca="1">(OFFSET($B$5,SUM($W$6:$W139)-1,)-OFFSET($B$5,SUM($W$6:$W139)-2,))+(OFFSET($B$5,SUM($W$6:$W139)-3,)-OFFSET($B$5,SUM($W$6:$W139)-4,))+(OFFSET($B$5,SUM($W$6:$W139)-5,)-OFFSET($B$5,SUM($W$6:$W139)-6,))</f>
        <v>#REF!</v>
      </c>
      <c r="AK139" s="439">
        <f ca="1">(OFFSET($B$5,SUM($W$6:$W139)-1,)-OFFSET($B$5,SUM($W$6:$W139)-2,))+(OFFSET($B$5,SUM($W$6:$W139)-3,)-OFFSET($B$5,SUM($W$6:$W139)-4,))</f>
        <v>0</v>
      </c>
      <c r="AL139" s="439">
        <f ca="1">(OFFSET($B$5,SUM($W$6:$W139)-1,)-OFFSET($B$5,SUM($W$6:$W139)-2,))</f>
        <v>0</v>
      </c>
      <c r="AM139" s="433">
        <v>5.5416666666666696</v>
      </c>
    </row>
    <row r="140" spans="6:39" x14ac:dyDescent="0.25">
      <c r="F140" s="376">
        <v>44511</v>
      </c>
      <c r="G140" s="370">
        <f t="shared" si="85"/>
        <v>44511</v>
      </c>
      <c r="H140" s="388">
        <f t="shared" si="95"/>
        <v>0</v>
      </c>
      <c r="I140" s="388">
        <f t="shared" ca="1" si="96"/>
        <v>-0.33333333333333331</v>
      </c>
      <c r="J140" s="386">
        <f t="shared" ref="J140:J142" ca="1" si="97">I140+J139</f>
        <v>-1.9999999999999998</v>
      </c>
      <c r="K140" s="163"/>
      <c r="L140" s="59"/>
      <c r="T140" s="438">
        <f t="shared" si="88"/>
        <v>0</v>
      </c>
      <c r="U140" s="439" t="b">
        <f t="shared" si="89"/>
        <v>0</v>
      </c>
      <c r="V140" s="440" t="b">
        <f t="shared" si="90"/>
        <v>0</v>
      </c>
      <c r="W140" s="437">
        <f t="shared" si="91"/>
        <v>0</v>
      </c>
      <c r="X140" s="439">
        <f t="shared" si="93"/>
        <v>0</v>
      </c>
      <c r="Y140" s="439">
        <f t="shared" si="94"/>
        <v>0</v>
      </c>
      <c r="Z140" s="439">
        <f t="shared" si="67"/>
        <v>0</v>
      </c>
      <c r="AA140" s="439" t="e">
        <f ca="1">(OFFSET($B$5,SUM($W$6:$W140),)-OFFSET($B$5,(SUM($W$6:$W140)-SUM($W140:$W140)+1),))</f>
        <v>#VALUE!</v>
      </c>
      <c r="AB140" s="439" t="e">
        <f ca="1">(OFFSET($B$5,SUM($W$6:$W140),)-OFFSET($B$5,SUM($W$6:$W140)-1,))+(OFFSET($B$5,SUM($W$6:$W140)-2,)-OFFSET($B$5,SUM($W$6:$W140)-3,))+(OFFSET($B$5,SUM($W$6:$W140)-4,)-OFFSET($B$5,SUM($W$6:$W140)-5,))+(OFFSET($B$5,SUM($W$6:$W140)-6,)-OFFSET($B$5,SUM($W$6:$W140)-7,))+(OFFSET($B$5,SUM($W$6:$W140)-8,)-OFFSET($B$5,SUM($W$6:$W140)-9,))+(OFFSET($B$5,SUM($W$6:$W140)-10,)-OFFSET($B$5,SUM($W$6:$W140)-11,))</f>
        <v>#VALUE!</v>
      </c>
      <c r="AC140" s="439" t="e">
        <f ca="1">(OFFSET($B$5,SUM($W$6:$W140),)-OFFSET($B$5,SUM($W$6:$W140)-1,))+(OFFSET($B$5,SUM($W$6:$W140)-2,)-OFFSET($B$5,SUM($W$6:$W140)-3,))+(OFFSET($B$5,SUM($W$6:$W140)-4,)-OFFSET($B$5,SUM($W$6:$W140)-5,))+(OFFSET($B$5,SUM($W$6:$W140)-6,)-OFFSET($B$5,SUM($W$6:$W140)-7,))+(OFFSET($B$5,SUM($W$6:$W140)-8,)-OFFSET($B$5,SUM($W$6:$W140)-9,))</f>
        <v>#VALUE!</v>
      </c>
      <c r="AD140" s="439" t="e">
        <f ca="1">(OFFSET($B$5,SUM($W$6:$W140),)-OFFSET($B$5,SUM($W$6:$W140)-1,))+(OFFSET($B$5,SUM($W$6:$W140)-2,)-OFFSET($B$5,SUM($W$6:$W140)-3,))+(OFFSET($B$5,SUM($W$6:$W140)-4,)-OFFSET($B$5,SUM($W$6:$W140)-5,))+(OFFSET($B$5,SUM($W$6:$W140)-6,)-OFFSET($B$5,SUM($W$6:$W140)-7,))</f>
        <v>#VALUE!</v>
      </c>
      <c r="AE140" s="439" t="e">
        <f ca="1">(OFFSET($B$5,SUM($W$6:$W140),)-OFFSET($B$5,SUM($W$6:$W140)-1,))+(OFFSET($B$5,SUM($W$6:$W140)-2,)-OFFSET($B$5,SUM($W$6:$W140)-3,))+(OFFSET($B$5,SUM($W$6:$W140)-4,)-OFFSET($B$5,SUM($W$6:$W140)-5,))</f>
        <v>#VALUE!</v>
      </c>
      <c r="AF140" s="439" t="e">
        <f ca="1">(OFFSET($B$5,SUM($W$6:$W140),)-OFFSET($B$5,SUM($W$6:$W140)-1,))+(OFFSET($B$5,SUM($W$6:$W140)-2,)-OFFSET($B$5,SUM($W$6:$W140)-3,))</f>
        <v>#VALUE!</v>
      </c>
      <c r="AG140" s="439" t="e">
        <f ca="1">(OFFSET($B$5,SUM($W$6:$W140),)-OFFSET($B$5,SUM($W$6:$W140)-1,))</f>
        <v>#VALUE!</v>
      </c>
      <c r="AH140" s="439" t="e">
        <f ca="1">(OFFSET($B$5,SUM($W$6:$W140)-1,)-OFFSET($B$5,SUM($W$6:$W140)-2,))+(OFFSET($B$5,SUM($W$6:$W140)-3,)-OFFSET($B$5,SUM($W$6:$W140)-4,))+(OFFSET($B$5,SUM($W$6:$W140)-5,)-OFFSET($B$5,SUM($W$6:$W140)-6,))+(OFFSET($B$5,SUM($W$6:$W140)-7,)-OFFSET($B$5,SUM($W$6:$W140)-8,))+(OFFSET($B$5,SUM($W$6:$W140)-9,)-OFFSET($B$5,SUM($W$6:$W140)-10,))</f>
        <v>#REF!</v>
      </c>
      <c r="AI140" s="439" t="e">
        <f ca="1">(OFFSET($B$5,SUM($W$6:$W140)-1,)-OFFSET($B$5,SUM($W$6:$W140)-2,))+(OFFSET($B$5,SUM($W$6:$W140)-3,)-OFFSET($B$5,SUM($W$6:$W140)-4,))+(OFFSET($B$5,SUM($W$6:$W140)-5,)-OFFSET($B$5,SUM($W$6:$W140)-6,))+(OFFSET($B$5,SUM($W$6:$W140)-7,)-OFFSET($B$5,SUM($W$6:$W140)-8,))</f>
        <v>#REF!</v>
      </c>
      <c r="AJ140" s="439" t="e">
        <f ca="1">(OFFSET($B$5,SUM($W$6:$W140)-1,)-OFFSET($B$5,SUM($W$6:$W140)-2,))+(OFFSET($B$5,SUM($W$6:$W140)-3,)-OFFSET($B$5,SUM($W$6:$W140)-4,))+(OFFSET($B$5,SUM($W$6:$W140)-5,)-OFFSET($B$5,SUM($W$6:$W140)-6,))</f>
        <v>#REF!</v>
      </c>
      <c r="AK140" s="439">
        <f ca="1">(OFFSET($B$5,SUM($W$6:$W140)-1,)-OFFSET($B$5,SUM($W$6:$W140)-2,))+(OFFSET($B$5,SUM($W$6:$W140)-3,)-OFFSET($B$5,SUM($W$6:$W140)-4,))</f>
        <v>0</v>
      </c>
      <c r="AL140" s="439">
        <f ca="1">(OFFSET($B$5,SUM($W$6:$W140)-1,)-OFFSET($B$5,SUM($W$6:$W140)-2,))</f>
        <v>0</v>
      </c>
      <c r="AM140" s="433">
        <v>5.5833333333333304</v>
      </c>
    </row>
    <row r="141" spans="6:39" x14ac:dyDescent="0.25">
      <c r="F141" s="376">
        <v>44512</v>
      </c>
      <c r="G141" s="370">
        <f t="shared" si="85"/>
        <v>44512</v>
      </c>
      <c r="H141" s="388">
        <f t="shared" si="95"/>
        <v>0</v>
      </c>
      <c r="I141" s="388">
        <f t="shared" ca="1" si="96"/>
        <v>-0.33333333333333331</v>
      </c>
      <c r="J141" s="386">
        <f t="shared" ca="1" si="97"/>
        <v>-2.333333333333333</v>
      </c>
      <c r="K141" s="164"/>
      <c r="L141" s="60"/>
      <c r="T141" s="438">
        <f t="shared" si="88"/>
        <v>0</v>
      </c>
      <c r="U141" s="439" t="b">
        <f t="shared" si="89"/>
        <v>0</v>
      </c>
      <c r="V141" s="440" t="b">
        <f t="shared" si="90"/>
        <v>0</v>
      </c>
      <c r="W141" s="437">
        <f t="shared" si="91"/>
        <v>0</v>
      </c>
      <c r="X141" s="439">
        <f t="shared" si="93"/>
        <v>0</v>
      </c>
      <c r="Y141" s="439">
        <f t="shared" si="94"/>
        <v>0</v>
      </c>
      <c r="Z141" s="439">
        <f t="shared" si="67"/>
        <v>0</v>
      </c>
      <c r="AA141" s="439" t="e">
        <f ca="1">(OFFSET($B$5,SUM($W$6:$W141),)-OFFSET($B$5,(SUM($W$6:$W141)-SUM($W141:$W141)+1),))</f>
        <v>#VALUE!</v>
      </c>
      <c r="AB141" s="439" t="e">
        <f ca="1">(OFFSET($B$5,SUM($W$6:$W141),)-OFFSET($B$5,SUM($W$6:$W141)-1,))+(OFFSET($B$5,SUM($W$6:$W141)-2,)-OFFSET($B$5,SUM($W$6:$W141)-3,))+(OFFSET($B$5,SUM($W$6:$W141)-4,)-OFFSET($B$5,SUM($W$6:$W141)-5,))+(OFFSET($B$5,SUM($W$6:$W141)-6,)-OFFSET($B$5,SUM($W$6:$W141)-7,))+(OFFSET($B$5,SUM($W$6:$W141)-8,)-OFFSET($B$5,SUM($W$6:$W141)-9,))+(OFFSET($B$5,SUM($W$6:$W141)-10,)-OFFSET($B$5,SUM($W$6:$W141)-11,))</f>
        <v>#VALUE!</v>
      </c>
      <c r="AC141" s="439" t="e">
        <f ca="1">(OFFSET($B$5,SUM($W$6:$W141),)-OFFSET($B$5,SUM($W$6:$W141)-1,))+(OFFSET($B$5,SUM($W$6:$W141)-2,)-OFFSET($B$5,SUM($W$6:$W141)-3,))+(OFFSET($B$5,SUM($W$6:$W141)-4,)-OFFSET($B$5,SUM($W$6:$W141)-5,))+(OFFSET($B$5,SUM($W$6:$W141)-6,)-OFFSET($B$5,SUM($W$6:$W141)-7,))+(OFFSET($B$5,SUM($W$6:$W141)-8,)-OFFSET($B$5,SUM($W$6:$W141)-9,))</f>
        <v>#VALUE!</v>
      </c>
      <c r="AD141" s="439" t="e">
        <f ca="1">(OFFSET($B$5,SUM($W$6:$W141),)-OFFSET($B$5,SUM($W$6:$W141)-1,))+(OFFSET($B$5,SUM($W$6:$W141)-2,)-OFFSET($B$5,SUM($W$6:$W141)-3,))+(OFFSET($B$5,SUM($W$6:$W141)-4,)-OFFSET($B$5,SUM($W$6:$W141)-5,))+(OFFSET($B$5,SUM($W$6:$W141)-6,)-OFFSET($B$5,SUM($W$6:$W141)-7,))</f>
        <v>#VALUE!</v>
      </c>
      <c r="AE141" s="439" t="e">
        <f ca="1">(OFFSET($B$5,SUM($W$6:$W141),)-OFFSET($B$5,SUM($W$6:$W141)-1,))+(OFFSET($B$5,SUM($W$6:$W141)-2,)-OFFSET($B$5,SUM($W$6:$W141)-3,))+(OFFSET($B$5,SUM($W$6:$W141)-4,)-OFFSET($B$5,SUM($W$6:$W141)-5,))</f>
        <v>#VALUE!</v>
      </c>
      <c r="AF141" s="439" t="e">
        <f ca="1">(OFFSET($B$5,SUM($W$6:$W141),)-OFFSET($B$5,SUM($W$6:$W141)-1,))+(OFFSET($B$5,SUM($W$6:$W141)-2,)-OFFSET($B$5,SUM($W$6:$W141)-3,))</f>
        <v>#VALUE!</v>
      </c>
      <c r="AG141" s="439" t="e">
        <f ca="1">(OFFSET($B$5,SUM($W$6:$W141),)-OFFSET($B$5,SUM($W$6:$W141)-1,))</f>
        <v>#VALUE!</v>
      </c>
      <c r="AH141" s="439" t="e">
        <f ca="1">(OFFSET($B$5,SUM($W$6:$W141)-1,)-OFFSET($B$5,SUM($W$6:$W141)-2,))+(OFFSET($B$5,SUM($W$6:$W141)-3,)-OFFSET($B$5,SUM($W$6:$W141)-4,))+(OFFSET($B$5,SUM($W$6:$W141)-5,)-OFFSET($B$5,SUM($W$6:$W141)-6,))+(OFFSET($B$5,SUM($W$6:$W141)-7,)-OFFSET($B$5,SUM($W$6:$W141)-8,))+(OFFSET($B$5,SUM($W$6:$W141)-9,)-OFFSET($B$5,SUM($W$6:$W141)-10,))</f>
        <v>#REF!</v>
      </c>
      <c r="AI141" s="439" t="e">
        <f ca="1">(OFFSET($B$5,SUM($W$6:$W141)-1,)-OFFSET($B$5,SUM($W$6:$W141)-2,))+(OFFSET($B$5,SUM($W$6:$W141)-3,)-OFFSET($B$5,SUM($W$6:$W141)-4,))+(OFFSET($B$5,SUM($W$6:$W141)-5,)-OFFSET($B$5,SUM($W$6:$W141)-6,))+(OFFSET($B$5,SUM($W$6:$W141)-7,)-OFFSET($B$5,SUM($W$6:$W141)-8,))</f>
        <v>#REF!</v>
      </c>
      <c r="AJ141" s="439" t="e">
        <f ca="1">(OFFSET($B$5,SUM($W$6:$W141)-1,)-OFFSET($B$5,SUM($W$6:$W141)-2,))+(OFFSET($B$5,SUM($W$6:$W141)-3,)-OFFSET($B$5,SUM($W$6:$W141)-4,))+(OFFSET($B$5,SUM($W$6:$W141)-5,)-OFFSET($B$5,SUM($W$6:$W141)-6,))</f>
        <v>#REF!</v>
      </c>
      <c r="AK141" s="439">
        <f ca="1">(OFFSET($B$5,SUM($W$6:$W141)-1,)-OFFSET($B$5,SUM($W$6:$W141)-2,))+(OFFSET($B$5,SUM($W$6:$W141)-3,)-OFFSET($B$5,SUM($W$6:$W141)-4,))</f>
        <v>0</v>
      </c>
      <c r="AL141" s="439">
        <f ca="1">(OFFSET($B$5,SUM($W$6:$W141)-1,)-OFFSET($B$5,SUM($W$6:$W141)-2,))</f>
        <v>0</v>
      </c>
      <c r="AM141" s="433">
        <v>5.625</v>
      </c>
    </row>
    <row r="142" spans="6:39" x14ac:dyDescent="0.25">
      <c r="F142" s="376">
        <v>44513</v>
      </c>
      <c r="G142" s="370">
        <f t="shared" si="85"/>
        <v>44513</v>
      </c>
      <c r="H142" s="388">
        <f t="shared" si="95"/>
        <v>0</v>
      </c>
      <c r="I142" s="388">
        <f t="shared" ca="1" si="96"/>
        <v>-0.33333333333333331</v>
      </c>
      <c r="J142" s="386">
        <f t="shared" ca="1" si="97"/>
        <v>-2.6666666666666665</v>
      </c>
      <c r="K142" s="164"/>
      <c r="L142" s="60"/>
      <c r="T142" s="438">
        <f t="shared" si="88"/>
        <v>0</v>
      </c>
      <c r="U142" s="439" t="b">
        <f t="shared" si="89"/>
        <v>0</v>
      </c>
      <c r="V142" s="440" t="b">
        <f t="shared" si="90"/>
        <v>0</v>
      </c>
      <c r="W142" s="437">
        <f t="shared" si="91"/>
        <v>0</v>
      </c>
      <c r="X142" s="439">
        <f t="shared" si="93"/>
        <v>0</v>
      </c>
      <c r="Y142" s="439">
        <f t="shared" si="94"/>
        <v>0</v>
      </c>
      <c r="Z142" s="439">
        <f t="shared" si="67"/>
        <v>0</v>
      </c>
      <c r="AA142" s="439" t="e">
        <f ca="1">(OFFSET($B$5,SUM($W$6:$W142),)-OFFSET($B$5,(SUM($W$6:$W142)-SUM($W142:$W142)+1),))</f>
        <v>#VALUE!</v>
      </c>
      <c r="AB142" s="439" t="e">
        <f ca="1">(OFFSET($B$5,SUM($W$6:$W142),)-OFFSET($B$5,SUM($W$6:$W142)-1,))+(OFFSET($B$5,SUM($W$6:$W142)-2,)-OFFSET($B$5,SUM($W$6:$W142)-3,))+(OFFSET($B$5,SUM($W$6:$W142)-4,)-OFFSET($B$5,SUM($W$6:$W142)-5,))+(OFFSET($B$5,SUM($W$6:$W142)-6,)-OFFSET($B$5,SUM($W$6:$W142)-7,))+(OFFSET($B$5,SUM($W$6:$W142)-8,)-OFFSET($B$5,SUM($W$6:$W142)-9,))+(OFFSET($B$5,SUM($W$6:$W142)-10,)-OFFSET($B$5,SUM($W$6:$W142)-11,))</f>
        <v>#VALUE!</v>
      </c>
      <c r="AC142" s="439" t="e">
        <f ca="1">(OFFSET($B$5,SUM($W$6:$W142),)-OFFSET($B$5,SUM($W$6:$W142)-1,))+(OFFSET($B$5,SUM($W$6:$W142)-2,)-OFFSET($B$5,SUM($W$6:$W142)-3,))+(OFFSET($B$5,SUM($W$6:$W142)-4,)-OFFSET($B$5,SUM($W$6:$W142)-5,))+(OFFSET($B$5,SUM($W$6:$W142)-6,)-OFFSET($B$5,SUM($W$6:$W142)-7,))+(OFFSET($B$5,SUM($W$6:$W142)-8,)-OFFSET($B$5,SUM($W$6:$W142)-9,))</f>
        <v>#VALUE!</v>
      </c>
      <c r="AD142" s="439" t="e">
        <f ca="1">(OFFSET($B$5,SUM($W$6:$W142),)-OFFSET($B$5,SUM($W$6:$W142)-1,))+(OFFSET($B$5,SUM($W$6:$W142)-2,)-OFFSET($B$5,SUM($W$6:$W142)-3,))+(OFFSET($B$5,SUM($W$6:$W142)-4,)-OFFSET($B$5,SUM($W$6:$W142)-5,))+(OFFSET($B$5,SUM($W$6:$W142)-6,)-OFFSET($B$5,SUM($W$6:$W142)-7,))</f>
        <v>#VALUE!</v>
      </c>
      <c r="AE142" s="439" t="e">
        <f ca="1">(OFFSET($B$5,SUM($W$6:$W142),)-OFFSET($B$5,SUM($W$6:$W142)-1,))+(OFFSET($B$5,SUM($W$6:$W142)-2,)-OFFSET($B$5,SUM($W$6:$W142)-3,))+(OFFSET($B$5,SUM($W$6:$W142)-4,)-OFFSET($B$5,SUM($W$6:$W142)-5,))</f>
        <v>#VALUE!</v>
      </c>
      <c r="AF142" s="439" t="e">
        <f ca="1">(OFFSET($B$5,SUM($W$6:$W142),)-OFFSET($B$5,SUM($W$6:$W142)-1,))+(OFFSET($B$5,SUM($W$6:$W142)-2,)-OFFSET($B$5,SUM($W$6:$W142)-3,))</f>
        <v>#VALUE!</v>
      </c>
      <c r="AG142" s="439" t="e">
        <f ca="1">(OFFSET($B$5,SUM($W$6:$W142),)-OFFSET($B$5,SUM($W$6:$W142)-1,))</f>
        <v>#VALUE!</v>
      </c>
      <c r="AH142" s="439" t="e">
        <f ca="1">(OFFSET($B$5,SUM($W$6:$W142)-1,)-OFFSET($B$5,SUM($W$6:$W142)-2,))+(OFFSET($B$5,SUM($W$6:$W142)-3,)-OFFSET($B$5,SUM($W$6:$W142)-4,))+(OFFSET($B$5,SUM($W$6:$W142)-5,)-OFFSET($B$5,SUM($W$6:$W142)-6,))+(OFFSET($B$5,SUM($W$6:$W142)-7,)-OFFSET($B$5,SUM($W$6:$W142)-8,))+(OFFSET($B$5,SUM($W$6:$W142)-9,)-OFFSET($B$5,SUM($W$6:$W142)-10,))</f>
        <v>#REF!</v>
      </c>
      <c r="AI142" s="439" t="e">
        <f ca="1">(OFFSET($B$5,SUM($W$6:$W142)-1,)-OFFSET($B$5,SUM($W$6:$W142)-2,))+(OFFSET($B$5,SUM($W$6:$W142)-3,)-OFFSET($B$5,SUM($W$6:$W142)-4,))+(OFFSET($B$5,SUM($W$6:$W142)-5,)-OFFSET($B$5,SUM($W$6:$W142)-6,))+(OFFSET($B$5,SUM($W$6:$W142)-7,)-OFFSET($B$5,SUM($W$6:$W142)-8,))</f>
        <v>#REF!</v>
      </c>
      <c r="AJ142" s="439" t="e">
        <f ca="1">(OFFSET($B$5,SUM($W$6:$W142)-1,)-OFFSET($B$5,SUM($W$6:$W142)-2,))+(OFFSET($B$5,SUM($W$6:$W142)-3,)-OFFSET($B$5,SUM($W$6:$W142)-4,))+(OFFSET($B$5,SUM($W$6:$W142)-5,)-OFFSET($B$5,SUM($W$6:$W142)-6,))</f>
        <v>#REF!</v>
      </c>
      <c r="AK142" s="439">
        <f ca="1">(OFFSET($B$5,SUM($W$6:$W142)-1,)-OFFSET($B$5,SUM($W$6:$W142)-2,))+(OFFSET($B$5,SUM($W$6:$W142)-3,)-OFFSET($B$5,SUM($W$6:$W142)-4,))</f>
        <v>0</v>
      </c>
      <c r="AL142" s="439">
        <f ca="1">(OFFSET($B$5,SUM($W$6:$W142)-1,)-OFFSET($B$5,SUM($W$6:$W142)-2,))</f>
        <v>0</v>
      </c>
      <c r="AM142" s="433">
        <v>5.6666666666666696</v>
      </c>
    </row>
    <row r="143" spans="6:39" x14ac:dyDescent="0.25">
      <c r="F143" s="376">
        <v>44514</v>
      </c>
      <c r="G143" s="404">
        <f t="shared" ref="G143:G144" si="98">F143</f>
        <v>44514</v>
      </c>
      <c r="H143" s="389"/>
      <c r="I143" s="389"/>
      <c r="J143" s="389"/>
      <c r="K143" s="164"/>
      <c r="L143" s="61"/>
      <c r="T143" s="438">
        <f t="shared" si="88"/>
        <v>0</v>
      </c>
      <c r="U143" s="439" t="b">
        <f t="shared" si="89"/>
        <v>0</v>
      </c>
      <c r="V143" s="440" t="b">
        <f t="shared" si="90"/>
        <v>0</v>
      </c>
      <c r="W143" s="437">
        <f t="shared" si="91"/>
        <v>0</v>
      </c>
      <c r="X143" s="439">
        <f t="shared" si="93"/>
        <v>0</v>
      </c>
      <c r="Y143" s="439">
        <f t="shared" si="94"/>
        <v>0</v>
      </c>
      <c r="Z143" s="439">
        <f t="shared" si="67"/>
        <v>0</v>
      </c>
      <c r="AA143" s="439" t="e">
        <f ca="1">(OFFSET($B$5,SUM($W$6:$W143),)-OFFSET($B$5,(SUM($W$6:$W143)-SUM($W143:$W143)+1),))</f>
        <v>#VALUE!</v>
      </c>
      <c r="AB143" s="439" t="e">
        <f ca="1">(OFFSET($B$5,SUM($W$6:$W143),)-OFFSET($B$5,SUM($W$6:$W143)-1,))+(OFFSET($B$5,SUM($W$6:$W143)-2,)-OFFSET($B$5,SUM($W$6:$W143)-3,))+(OFFSET($B$5,SUM($W$6:$W143)-4,)-OFFSET($B$5,SUM($W$6:$W143)-5,))+(OFFSET($B$5,SUM($W$6:$W143)-6,)-OFFSET($B$5,SUM($W$6:$W143)-7,))+(OFFSET($B$5,SUM($W$6:$W143)-8,)-OFFSET($B$5,SUM($W$6:$W143)-9,))+(OFFSET($B$5,SUM($W$6:$W143)-10,)-OFFSET($B$5,SUM($W$6:$W143)-11,))</f>
        <v>#VALUE!</v>
      </c>
      <c r="AC143" s="439" t="e">
        <f ca="1">(OFFSET($B$5,SUM($W$6:$W143),)-OFFSET($B$5,SUM($W$6:$W143)-1,))+(OFFSET($B$5,SUM($W$6:$W143)-2,)-OFFSET($B$5,SUM($W$6:$W143)-3,))+(OFFSET($B$5,SUM($W$6:$W143)-4,)-OFFSET($B$5,SUM($W$6:$W143)-5,))+(OFFSET($B$5,SUM($W$6:$W143)-6,)-OFFSET($B$5,SUM($W$6:$W143)-7,))+(OFFSET($B$5,SUM($W$6:$W143)-8,)-OFFSET($B$5,SUM($W$6:$W143)-9,))</f>
        <v>#VALUE!</v>
      </c>
      <c r="AD143" s="439" t="e">
        <f ca="1">(OFFSET($B$5,SUM($W$6:$W143),)-OFFSET($B$5,SUM($W$6:$W143)-1,))+(OFFSET($B$5,SUM($W$6:$W143)-2,)-OFFSET($B$5,SUM($W$6:$W143)-3,))+(OFFSET($B$5,SUM($W$6:$W143)-4,)-OFFSET($B$5,SUM($W$6:$W143)-5,))+(OFFSET($B$5,SUM($W$6:$W143)-6,)-OFFSET($B$5,SUM($W$6:$W143)-7,))</f>
        <v>#VALUE!</v>
      </c>
      <c r="AE143" s="439" t="e">
        <f ca="1">(OFFSET($B$5,SUM($W$6:$W143),)-OFFSET($B$5,SUM($W$6:$W143)-1,))+(OFFSET($B$5,SUM($W$6:$W143)-2,)-OFFSET($B$5,SUM($W$6:$W143)-3,))+(OFFSET($B$5,SUM($W$6:$W143)-4,)-OFFSET($B$5,SUM($W$6:$W143)-5,))</f>
        <v>#VALUE!</v>
      </c>
      <c r="AF143" s="439" t="e">
        <f ca="1">(OFFSET($B$5,SUM($W$6:$W143),)-OFFSET($B$5,SUM($W$6:$W143)-1,))+(OFFSET($B$5,SUM($W$6:$W143)-2,)-OFFSET($B$5,SUM($W$6:$W143)-3,))</f>
        <v>#VALUE!</v>
      </c>
      <c r="AG143" s="439" t="e">
        <f ca="1">(OFFSET($B$5,SUM($W$6:$W143),)-OFFSET($B$5,SUM($W$6:$W143)-1,))</f>
        <v>#VALUE!</v>
      </c>
      <c r="AH143" s="439" t="e">
        <f ca="1">(OFFSET($B$5,SUM($W$6:$W143)-1,)-OFFSET($B$5,SUM($W$6:$W143)-2,))+(OFFSET($B$5,SUM($W$6:$W143)-3,)-OFFSET($B$5,SUM($W$6:$W143)-4,))+(OFFSET($B$5,SUM($W$6:$W143)-5,)-OFFSET($B$5,SUM($W$6:$W143)-6,))+(OFFSET($B$5,SUM($W$6:$W143)-7,)-OFFSET($B$5,SUM($W$6:$W143)-8,))+(OFFSET($B$5,SUM($W$6:$W143)-9,)-OFFSET($B$5,SUM($W$6:$W143)-10,))</f>
        <v>#REF!</v>
      </c>
      <c r="AI143" s="439" t="e">
        <f ca="1">(OFFSET($B$5,SUM($W$6:$W143)-1,)-OFFSET($B$5,SUM($W$6:$W143)-2,))+(OFFSET($B$5,SUM($W$6:$W143)-3,)-OFFSET($B$5,SUM($W$6:$W143)-4,))+(OFFSET($B$5,SUM($W$6:$W143)-5,)-OFFSET($B$5,SUM($W$6:$W143)-6,))+(OFFSET($B$5,SUM($W$6:$W143)-7,)-OFFSET($B$5,SUM($W$6:$W143)-8,))</f>
        <v>#REF!</v>
      </c>
      <c r="AJ143" s="439" t="e">
        <f ca="1">(OFFSET($B$5,SUM($W$6:$W143)-1,)-OFFSET($B$5,SUM($W$6:$W143)-2,))+(OFFSET($B$5,SUM($W$6:$W143)-3,)-OFFSET($B$5,SUM($W$6:$W143)-4,))+(OFFSET($B$5,SUM($W$6:$W143)-5,)-OFFSET($B$5,SUM($W$6:$W143)-6,))</f>
        <v>#REF!</v>
      </c>
      <c r="AK143" s="439">
        <f ca="1">(OFFSET($B$5,SUM($W$6:$W143)-1,)-OFFSET($B$5,SUM($W$6:$W143)-2,))+(OFFSET($B$5,SUM($W$6:$W143)-3,)-OFFSET($B$5,SUM($W$6:$W143)-4,))</f>
        <v>0</v>
      </c>
      <c r="AL143" s="439">
        <f ca="1">(OFFSET($B$5,SUM($W$6:$W143)-1,)-OFFSET($B$5,SUM($W$6:$W143)-2,))</f>
        <v>0</v>
      </c>
      <c r="AM143" s="433">
        <v>5.7083333333333304</v>
      </c>
    </row>
    <row r="144" spans="6:39" x14ac:dyDescent="0.25">
      <c r="F144" s="376">
        <v>44515</v>
      </c>
      <c r="G144" s="404">
        <f t="shared" si="98"/>
        <v>44515</v>
      </c>
      <c r="H144" s="389"/>
      <c r="I144" s="389"/>
      <c r="J144" s="389"/>
      <c r="K144" s="164"/>
      <c r="L144" s="60"/>
      <c r="T144" s="438">
        <f t="shared" si="88"/>
        <v>0</v>
      </c>
      <c r="U144" s="439" t="b">
        <f t="shared" si="89"/>
        <v>0</v>
      </c>
      <c r="V144" s="440" t="b">
        <f t="shared" si="90"/>
        <v>0</v>
      </c>
      <c r="W144" s="437">
        <f t="shared" si="91"/>
        <v>0</v>
      </c>
      <c r="X144" s="439">
        <f t="shared" si="93"/>
        <v>0</v>
      </c>
      <c r="Y144" s="439">
        <f t="shared" si="94"/>
        <v>0</v>
      </c>
      <c r="Z144" s="439">
        <f t="shared" si="67"/>
        <v>0</v>
      </c>
      <c r="AA144" s="439" t="e">
        <f ca="1">(OFFSET($B$5,SUM($W$6:$W144),)-OFFSET($B$5,(SUM($W$6:$W144)-SUM($W144:$W144)+1),))</f>
        <v>#VALUE!</v>
      </c>
      <c r="AB144" s="439" t="e">
        <f ca="1">(OFFSET($B$5,SUM($W$6:$W144),)-OFFSET($B$5,SUM($W$6:$W144)-1,))+(OFFSET($B$5,SUM($W$6:$W144)-2,)-OFFSET($B$5,SUM($W$6:$W144)-3,))+(OFFSET($B$5,SUM($W$6:$W144)-4,)-OFFSET($B$5,SUM($W$6:$W144)-5,))+(OFFSET($B$5,SUM($W$6:$W144)-6,)-OFFSET($B$5,SUM($W$6:$W144)-7,))+(OFFSET($B$5,SUM($W$6:$W144)-8,)-OFFSET($B$5,SUM($W$6:$W144)-9,))+(OFFSET($B$5,SUM($W$6:$W144)-10,)-OFFSET($B$5,SUM($W$6:$W144)-11,))</f>
        <v>#VALUE!</v>
      </c>
      <c r="AC144" s="439" t="e">
        <f ca="1">(OFFSET($B$5,SUM($W$6:$W144),)-OFFSET($B$5,SUM($W$6:$W144)-1,))+(OFFSET($B$5,SUM($W$6:$W144)-2,)-OFFSET($B$5,SUM($W$6:$W144)-3,))+(OFFSET($B$5,SUM($W$6:$W144)-4,)-OFFSET($B$5,SUM($W$6:$W144)-5,))+(OFFSET($B$5,SUM($W$6:$W144)-6,)-OFFSET($B$5,SUM($W$6:$W144)-7,))+(OFFSET($B$5,SUM($W$6:$W144)-8,)-OFFSET($B$5,SUM($W$6:$W144)-9,))</f>
        <v>#VALUE!</v>
      </c>
      <c r="AD144" s="439" t="e">
        <f ca="1">(OFFSET($B$5,SUM($W$6:$W144),)-OFFSET($B$5,SUM($W$6:$W144)-1,))+(OFFSET($B$5,SUM($W$6:$W144)-2,)-OFFSET($B$5,SUM($W$6:$W144)-3,))+(OFFSET($B$5,SUM($W$6:$W144)-4,)-OFFSET($B$5,SUM($W$6:$W144)-5,))+(OFFSET($B$5,SUM($W$6:$W144)-6,)-OFFSET($B$5,SUM($W$6:$W144)-7,))</f>
        <v>#VALUE!</v>
      </c>
      <c r="AE144" s="439" t="e">
        <f ca="1">(OFFSET($B$5,SUM($W$6:$W144),)-OFFSET($B$5,SUM($W$6:$W144)-1,))+(OFFSET($B$5,SUM($W$6:$W144)-2,)-OFFSET($B$5,SUM($W$6:$W144)-3,))+(OFFSET($B$5,SUM($W$6:$W144)-4,)-OFFSET($B$5,SUM($W$6:$W144)-5,))</f>
        <v>#VALUE!</v>
      </c>
      <c r="AF144" s="439" t="e">
        <f ca="1">(OFFSET($B$5,SUM($W$6:$W144),)-OFFSET($B$5,SUM($W$6:$W144)-1,))+(OFFSET($B$5,SUM($W$6:$W144)-2,)-OFFSET($B$5,SUM($W$6:$W144)-3,))</f>
        <v>#VALUE!</v>
      </c>
      <c r="AG144" s="439" t="e">
        <f ca="1">(OFFSET($B$5,SUM($W$6:$W144),)-OFFSET($B$5,SUM($W$6:$W144)-1,))</f>
        <v>#VALUE!</v>
      </c>
      <c r="AH144" s="439" t="e">
        <f ca="1">(OFFSET($B$5,SUM($W$6:$W144)-1,)-OFFSET($B$5,SUM($W$6:$W144)-2,))+(OFFSET($B$5,SUM($W$6:$W144)-3,)-OFFSET($B$5,SUM($W$6:$W144)-4,))+(OFFSET($B$5,SUM($W$6:$W144)-5,)-OFFSET($B$5,SUM($W$6:$W144)-6,))+(OFFSET($B$5,SUM($W$6:$W144)-7,)-OFFSET($B$5,SUM($W$6:$W144)-8,))+(OFFSET($B$5,SUM($W$6:$W144)-9,)-OFFSET($B$5,SUM($W$6:$W144)-10,))</f>
        <v>#REF!</v>
      </c>
      <c r="AI144" s="439" t="e">
        <f ca="1">(OFFSET($B$5,SUM($W$6:$W144)-1,)-OFFSET($B$5,SUM($W$6:$W144)-2,))+(OFFSET($B$5,SUM($W$6:$W144)-3,)-OFFSET($B$5,SUM($W$6:$W144)-4,))+(OFFSET($B$5,SUM($W$6:$W144)-5,)-OFFSET($B$5,SUM($W$6:$W144)-6,))+(OFFSET($B$5,SUM($W$6:$W144)-7,)-OFFSET($B$5,SUM($W$6:$W144)-8,))</f>
        <v>#REF!</v>
      </c>
      <c r="AJ144" s="439" t="e">
        <f ca="1">(OFFSET($B$5,SUM($W$6:$W144)-1,)-OFFSET($B$5,SUM($W$6:$W144)-2,))+(OFFSET($B$5,SUM($W$6:$W144)-3,)-OFFSET($B$5,SUM($W$6:$W144)-4,))+(OFFSET($B$5,SUM($W$6:$W144)-5,)-OFFSET($B$5,SUM($W$6:$W144)-6,))</f>
        <v>#REF!</v>
      </c>
      <c r="AK144" s="439">
        <f ca="1">(OFFSET($B$5,SUM($W$6:$W144)-1,)-OFFSET($B$5,SUM($W$6:$W144)-2,))+(OFFSET($B$5,SUM($W$6:$W144)-3,)-OFFSET($B$5,SUM($W$6:$W144)-4,))</f>
        <v>0</v>
      </c>
      <c r="AL144" s="439">
        <f ca="1">(OFFSET($B$5,SUM($W$6:$W144)-1,)-OFFSET($B$5,SUM($W$6:$W144)-2,))</f>
        <v>0</v>
      </c>
      <c r="AM144" s="433">
        <v>5.75</v>
      </c>
    </row>
    <row r="145" spans="6:39" x14ac:dyDescent="0.25">
      <c r="F145" s="376">
        <v>44516</v>
      </c>
      <c r="G145" s="370">
        <f t="shared" si="85"/>
        <v>44516</v>
      </c>
      <c r="H145" s="388">
        <f t="shared" ref="H145:H149" si="99">X145</f>
        <v>0</v>
      </c>
      <c r="I145" s="388">
        <f t="shared" ref="I145:I149" ca="1" si="100">IFERROR(H145+T145+OFFSET($L$130,MATCH(F145,$K$131:$K$159,0),0)-$W$2,H145-$W$2)</f>
        <v>-0.33333333333333331</v>
      </c>
      <c r="J145" s="386">
        <f ca="1">I145+J142</f>
        <v>-3</v>
      </c>
      <c r="K145" s="164"/>
      <c r="L145" s="60"/>
      <c r="T145" s="438">
        <f t="shared" si="88"/>
        <v>0</v>
      </c>
      <c r="U145" s="439" t="b">
        <f t="shared" si="89"/>
        <v>0</v>
      </c>
      <c r="V145" s="440" t="b">
        <f t="shared" si="90"/>
        <v>0</v>
      </c>
      <c r="W145" s="437">
        <f t="shared" si="91"/>
        <v>0</v>
      </c>
      <c r="X145" s="439">
        <f t="shared" si="93"/>
        <v>0</v>
      </c>
      <c r="Y145" s="439">
        <f t="shared" si="94"/>
        <v>0</v>
      </c>
      <c r="Z145" s="439">
        <f t="shared" si="67"/>
        <v>0</v>
      </c>
      <c r="AA145" s="439" t="e">
        <f ca="1">(OFFSET($B$5,SUM($W$6:$W145),)-OFFSET($B$5,(SUM($W$6:$W145)-SUM($W145:$W145)+1),))</f>
        <v>#VALUE!</v>
      </c>
      <c r="AB145" s="439" t="e">
        <f ca="1">(OFFSET($B$5,SUM($W$6:$W145),)-OFFSET($B$5,SUM($W$6:$W145)-1,))+(OFFSET($B$5,SUM($W$6:$W145)-2,)-OFFSET($B$5,SUM($W$6:$W145)-3,))+(OFFSET($B$5,SUM($W$6:$W145)-4,)-OFFSET($B$5,SUM($W$6:$W145)-5,))+(OFFSET($B$5,SUM($W$6:$W145)-6,)-OFFSET($B$5,SUM($W$6:$W145)-7,))+(OFFSET($B$5,SUM($W$6:$W145)-8,)-OFFSET($B$5,SUM($W$6:$W145)-9,))+(OFFSET($B$5,SUM($W$6:$W145)-10,)-OFFSET($B$5,SUM($W$6:$W145)-11,))</f>
        <v>#VALUE!</v>
      </c>
      <c r="AC145" s="439" t="e">
        <f ca="1">(OFFSET($B$5,SUM($W$6:$W145),)-OFFSET($B$5,SUM($W$6:$W145)-1,))+(OFFSET($B$5,SUM($W$6:$W145)-2,)-OFFSET($B$5,SUM($W$6:$W145)-3,))+(OFFSET($B$5,SUM($W$6:$W145)-4,)-OFFSET($B$5,SUM($W$6:$W145)-5,))+(OFFSET($B$5,SUM($W$6:$W145)-6,)-OFFSET($B$5,SUM($W$6:$W145)-7,))+(OFFSET($B$5,SUM($W$6:$W145)-8,)-OFFSET($B$5,SUM($W$6:$W145)-9,))</f>
        <v>#VALUE!</v>
      </c>
      <c r="AD145" s="439" t="e">
        <f ca="1">(OFFSET($B$5,SUM($W$6:$W145),)-OFFSET($B$5,SUM($W$6:$W145)-1,))+(OFFSET($B$5,SUM($W$6:$W145)-2,)-OFFSET($B$5,SUM($W$6:$W145)-3,))+(OFFSET($B$5,SUM($W$6:$W145)-4,)-OFFSET($B$5,SUM($W$6:$W145)-5,))+(OFFSET($B$5,SUM($W$6:$W145)-6,)-OFFSET($B$5,SUM($W$6:$W145)-7,))</f>
        <v>#VALUE!</v>
      </c>
      <c r="AE145" s="439" t="e">
        <f ca="1">(OFFSET($B$5,SUM($W$6:$W145),)-OFFSET($B$5,SUM($W$6:$W145)-1,))+(OFFSET($B$5,SUM($W$6:$W145)-2,)-OFFSET($B$5,SUM($W$6:$W145)-3,))+(OFFSET($B$5,SUM($W$6:$W145)-4,)-OFFSET($B$5,SUM($W$6:$W145)-5,))</f>
        <v>#VALUE!</v>
      </c>
      <c r="AF145" s="439" t="e">
        <f ca="1">(OFFSET($B$5,SUM($W$6:$W145),)-OFFSET($B$5,SUM($W$6:$W145)-1,))+(OFFSET($B$5,SUM($W$6:$W145)-2,)-OFFSET($B$5,SUM($W$6:$W145)-3,))</f>
        <v>#VALUE!</v>
      </c>
      <c r="AG145" s="439" t="e">
        <f ca="1">(OFFSET($B$5,SUM($W$6:$W145),)-OFFSET($B$5,SUM($W$6:$W145)-1,))</f>
        <v>#VALUE!</v>
      </c>
      <c r="AH145" s="439" t="e">
        <f ca="1">(OFFSET($B$5,SUM($W$6:$W145)-1,)-OFFSET($B$5,SUM($W$6:$W145)-2,))+(OFFSET($B$5,SUM($W$6:$W145)-3,)-OFFSET($B$5,SUM($W$6:$W145)-4,))+(OFFSET($B$5,SUM($W$6:$W145)-5,)-OFFSET($B$5,SUM($W$6:$W145)-6,))+(OFFSET($B$5,SUM($W$6:$W145)-7,)-OFFSET($B$5,SUM($W$6:$W145)-8,))+(OFFSET($B$5,SUM($W$6:$W145)-9,)-OFFSET($B$5,SUM($W$6:$W145)-10,))</f>
        <v>#REF!</v>
      </c>
      <c r="AI145" s="439" t="e">
        <f ca="1">(OFFSET($B$5,SUM($W$6:$W145)-1,)-OFFSET($B$5,SUM($W$6:$W145)-2,))+(OFFSET($B$5,SUM($W$6:$W145)-3,)-OFFSET($B$5,SUM($W$6:$W145)-4,))+(OFFSET($B$5,SUM($W$6:$W145)-5,)-OFFSET($B$5,SUM($W$6:$W145)-6,))+(OFFSET($B$5,SUM($W$6:$W145)-7,)-OFFSET($B$5,SUM($W$6:$W145)-8,))</f>
        <v>#REF!</v>
      </c>
      <c r="AJ145" s="439" t="e">
        <f ca="1">(OFFSET($B$5,SUM($W$6:$W145)-1,)-OFFSET($B$5,SUM($W$6:$W145)-2,))+(OFFSET($B$5,SUM($W$6:$W145)-3,)-OFFSET($B$5,SUM($W$6:$W145)-4,))+(OFFSET($B$5,SUM($W$6:$W145)-5,)-OFFSET($B$5,SUM($W$6:$W145)-6,))</f>
        <v>#REF!</v>
      </c>
      <c r="AK145" s="439">
        <f ca="1">(OFFSET($B$5,SUM($W$6:$W145)-1,)-OFFSET($B$5,SUM($W$6:$W145)-2,))+(OFFSET($B$5,SUM($W$6:$W145)-3,)-OFFSET($B$5,SUM($W$6:$W145)-4,))</f>
        <v>0</v>
      </c>
      <c r="AL145" s="439">
        <f ca="1">(OFFSET($B$5,SUM($W$6:$W145)-1,)-OFFSET($B$5,SUM($W$6:$W145)-2,))</f>
        <v>0</v>
      </c>
      <c r="AM145" s="433">
        <v>5.7916666666666696</v>
      </c>
    </row>
    <row r="146" spans="6:39" x14ac:dyDescent="0.25">
      <c r="F146" s="376">
        <v>44517</v>
      </c>
      <c r="G146" s="370">
        <f t="shared" si="85"/>
        <v>44517</v>
      </c>
      <c r="H146" s="388">
        <f t="shared" si="99"/>
        <v>0</v>
      </c>
      <c r="I146" s="388">
        <f t="shared" ca="1" si="100"/>
        <v>-0.33333333333333331</v>
      </c>
      <c r="J146" s="386">
        <f ca="1">I146+J145</f>
        <v>-3.3333333333333335</v>
      </c>
      <c r="K146" s="164"/>
      <c r="L146" s="60"/>
      <c r="T146" s="438">
        <f t="shared" si="88"/>
        <v>0</v>
      </c>
      <c r="U146" s="439" t="b">
        <f t="shared" si="89"/>
        <v>0</v>
      </c>
      <c r="V146" s="440" t="b">
        <f t="shared" si="90"/>
        <v>0</v>
      </c>
      <c r="W146" s="437">
        <f t="shared" si="91"/>
        <v>0</v>
      </c>
      <c r="X146" s="439">
        <f t="shared" si="93"/>
        <v>0</v>
      </c>
      <c r="Y146" s="439">
        <f t="shared" si="94"/>
        <v>0</v>
      </c>
      <c r="Z146" s="439">
        <f t="shared" si="67"/>
        <v>0</v>
      </c>
      <c r="AA146" s="439" t="e">
        <f ca="1">(OFFSET($B$5,SUM($W$6:$W146),)-OFFSET($B$5,(SUM($W$6:$W146)-SUM($W146:$W146)+1),))</f>
        <v>#VALUE!</v>
      </c>
      <c r="AB146" s="439" t="e">
        <f ca="1">(OFFSET($B$5,SUM($W$6:$W146),)-OFFSET($B$5,SUM($W$6:$W146)-1,))+(OFFSET($B$5,SUM($W$6:$W146)-2,)-OFFSET($B$5,SUM($W$6:$W146)-3,))+(OFFSET($B$5,SUM($W$6:$W146)-4,)-OFFSET($B$5,SUM($W$6:$W146)-5,))+(OFFSET($B$5,SUM($W$6:$W146)-6,)-OFFSET($B$5,SUM($W$6:$W146)-7,))+(OFFSET($B$5,SUM($W$6:$W146)-8,)-OFFSET($B$5,SUM($W$6:$W146)-9,))+(OFFSET($B$5,SUM($W$6:$W146)-10,)-OFFSET($B$5,SUM($W$6:$W146)-11,))</f>
        <v>#VALUE!</v>
      </c>
      <c r="AC146" s="439" t="e">
        <f ca="1">(OFFSET($B$5,SUM($W$6:$W146),)-OFFSET($B$5,SUM($W$6:$W146)-1,))+(OFFSET($B$5,SUM($W$6:$W146)-2,)-OFFSET($B$5,SUM($W$6:$W146)-3,))+(OFFSET($B$5,SUM($W$6:$W146)-4,)-OFFSET($B$5,SUM($W$6:$W146)-5,))+(OFFSET($B$5,SUM($W$6:$W146)-6,)-OFFSET($B$5,SUM($W$6:$W146)-7,))+(OFFSET($B$5,SUM($W$6:$W146)-8,)-OFFSET($B$5,SUM($W$6:$W146)-9,))</f>
        <v>#VALUE!</v>
      </c>
      <c r="AD146" s="439" t="e">
        <f ca="1">(OFFSET($B$5,SUM($W$6:$W146),)-OFFSET($B$5,SUM($W$6:$W146)-1,))+(OFFSET($B$5,SUM($W$6:$W146)-2,)-OFFSET($B$5,SUM($W$6:$W146)-3,))+(OFFSET($B$5,SUM($W$6:$W146)-4,)-OFFSET($B$5,SUM($W$6:$W146)-5,))+(OFFSET($B$5,SUM($W$6:$W146)-6,)-OFFSET($B$5,SUM($W$6:$W146)-7,))</f>
        <v>#VALUE!</v>
      </c>
      <c r="AE146" s="439" t="e">
        <f ca="1">(OFFSET($B$5,SUM($W$6:$W146),)-OFFSET($B$5,SUM($W$6:$W146)-1,))+(OFFSET($B$5,SUM($W$6:$W146)-2,)-OFFSET($B$5,SUM($W$6:$W146)-3,))+(OFFSET($B$5,SUM($W$6:$W146)-4,)-OFFSET($B$5,SUM($W$6:$W146)-5,))</f>
        <v>#VALUE!</v>
      </c>
      <c r="AF146" s="439" t="e">
        <f ca="1">(OFFSET($B$5,SUM($W$6:$W146),)-OFFSET($B$5,SUM($W$6:$W146)-1,))+(OFFSET($B$5,SUM($W$6:$W146)-2,)-OFFSET($B$5,SUM($W$6:$W146)-3,))</f>
        <v>#VALUE!</v>
      </c>
      <c r="AG146" s="439" t="e">
        <f ca="1">(OFFSET($B$5,SUM($W$6:$W146),)-OFFSET($B$5,SUM($W$6:$W146)-1,))</f>
        <v>#VALUE!</v>
      </c>
      <c r="AH146" s="439" t="e">
        <f ca="1">(OFFSET($B$5,SUM($W$6:$W146)-1,)-OFFSET($B$5,SUM($W$6:$W146)-2,))+(OFFSET($B$5,SUM($W$6:$W146)-3,)-OFFSET($B$5,SUM($W$6:$W146)-4,))+(OFFSET($B$5,SUM($W$6:$W146)-5,)-OFFSET($B$5,SUM($W$6:$W146)-6,))+(OFFSET($B$5,SUM($W$6:$W146)-7,)-OFFSET($B$5,SUM($W$6:$W146)-8,))+(OFFSET($B$5,SUM($W$6:$W146)-9,)-OFFSET($B$5,SUM($W$6:$W146)-10,))</f>
        <v>#REF!</v>
      </c>
      <c r="AI146" s="439" t="e">
        <f ca="1">(OFFSET($B$5,SUM($W$6:$W146)-1,)-OFFSET($B$5,SUM($W$6:$W146)-2,))+(OFFSET($B$5,SUM($W$6:$W146)-3,)-OFFSET($B$5,SUM($W$6:$W146)-4,))+(OFFSET($B$5,SUM($W$6:$W146)-5,)-OFFSET($B$5,SUM($W$6:$W146)-6,))+(OFFSET($B$5,SUM($W$6:$W146)-7,)-OFFSET($B$5,SUM($W$6:$W146)-8,))</f>
        <v>#REF!</v>
      </c>
      <c r="AJ146" s="439" t="e">
        <f ca="1">(OFFSET($B$5,SUM($W$6:$W146)-1,)-OFFSET($B$5,SUM($W$6:$W146)-2,))+(OFFSET($B$5,SUM($W$6:$W146)-3,)-OFFSET($B$5,SUM($W$6:$W146)-4,))+(OFFSET($B$5,SUM($W$6:$W146)-5,)-OFFSET($B$5,SUM($W$6:$W146)-6,))</f>
        <v>#REF!</v>
      </c>
      <c r="AK146" s="439">
        <f ca="1">(OFFSET($B$5,SUM($W$6:$W146)-1,)-OFFSET($B$5,SUM($W$6:$W146)-2,))+(OFFSET($B$5,SUM($W$6:$W146)-3,)-OFFSET($B$5,SUM($W$6:$W146)-4,))</f>
        <v>0</v>
      </c>
      <c r="AL146" s="439">
        <f ca="1">(OFFSET($B$5,SUM($W$6:$W146)-1,)-OFFSET($B$5,SUM($W$6:$W146)-2,))</f>
        <v>0</v>
      </c>
      <c r="AM146" s="433">
        <v>5.8333333333333304</v>
      </c>
    </row>
    <row r="147" spans="6:39" x14ac:dyDescent="0.25">
      <c r="F147" s="376">
        <v>44518</v>
      </c>
      <c r="G147" s="370">
        <f t="shared" si="85"/>
        <v>44518</v>
      </c>
      <c r="H147" s="388">
        <f t="shared" si="99"/>
        <v>0</v>
      </c>
      <c r="I147" s="388">
        <f t="shared" ca="1" si="100"/>
        <v>-0.33333333333333331</v>
      </c>
      <c r="J147" s="386">
        <f t="shared" ref="J147:J149" ca="1" si="101">I147+J146</f>
        <v>-3.666666666666667</v>
      </c>
      <c r="K147" s="164"/>
      <c r="L147" s="60"/>
      <c r="T147" s="438">
        <f t="shared" si="88"/>
        <v>0</v>
      </c>
      <c r="U147" s="439" t="b">
        <f t="shared" si="89"/>
        <v>0</v>
      </c>
      <c r="V147" s="440" t="b">
        <f t="shared" si="90"/>
        <v>0</v>
      </c>
      <c r="W147" s="437">
        <f t="shared" si="91"/>
        <v>0</v>
      </c>
      <c r="X147" s="439">
        <f t="shared" si="93"/>
        <v>0</v>
      </c>
      <c r="Y147" s="439">
        <f t="shared" si="94"/>
        <v>0</v>
      </c>
      <c r="Z147" s="439">
        <f t="shared" si="67"/>
        <v>0</v>
      </c>
      <c r="AA147" s="439" t="e">
        <f ca="1">(OFFSET($B$5,SUM($W$6:$W147),)-OFFSET($B$5,(SUM($W$6:$W147)-SUM($W147:$W147)+1),))</f>
        <v>#VALUE!</v>
      </c>
      <c r="AB147" s="439" t="e">
        <f ca="1">(OFFSET($B$5,SUM($W$6:$W147),)-OFFSET($B$5,SUM($W$6:$W147)-1,))+(OFFSET($B$5,SUM($W$6:$W147)-2,)-OFFSET($B$5,SUM($W$6:$W147)-3,))+(OFFSET($B$5,SUM($W$6:$W147)-4,)-OFFSET($B$5,SUM($W$6:$W147)-5,))+(OFFSET($B$5,SUM($W$6:$W147)-6,)-OFFSET($B$5,SUM($W$6:$W147)-7,))+(OFFSET($B$5,SUM($W$6:$W147)-8,)-OFFSET($B$5,SUM($W$6:$W147)-9,))+(OFFSET($B$5,SUM($W$6:$W147)-10,)-OFFSET($B$5,SUM($W$6:$W147)-11,))</f>
        <v>#VALUE!</v>
      </c>
      <c r="AC147" s="439" t="e">
        <f ca="1">(OFFSET($B$5,SUM($W$6:$W147),)-OFFSET($B$5,SUM($W$6:$W147)-1,))+(OFFSET($B$5,SUM($W$6:$W147)-2,)-OFFSET($B$5,SUM($W$6:$W147)-3,))+(OFFSET($B$5,SUM($W$6:$W147)-4,)-OFFSET($B$5,SUM($W$6:$W147)-5,))+(OFFSET($B$5,SUM($W$6:$W147)-6,)-OFFSET($B$5,SUM($W$6:$W147)-7,))+(OFFSET($B$5,SUM($W$6:$W147)-8,)-OFFSET($B$5,SUM($W$6:$W147)-9,))</f>
        <v>#VALUE!</v>
      </c>
      <c r="AD147" s="439" t="e">
        <f ca="1">(OFFSET($B$5,SUM($W$6:$W147),)-OFFSET($B$5,SUM($W$6:$W147)-1,))+(OFFSET($B$5,SUM($W$6:$W147)-2,)-OFFSET($B$5,SUM($W$6:$W147)-3,))+(OFFSET($B$5,SUM($W$6:$W147)-4,)-OFFSET($B$5,SUM($W$6:$W147)-5,))+(OFFSET($B$5,SUM($W$6:$W147)-6,)-OFFSET($B$5,SUM($W$6:$W147)-7,))</f>
        <v>#VALUE!</v>
      </c>
      <c r="AE147" s="439" t="e">
        <f ca="1">(OFFSET($B$5,SUM($W$6:$W147),)-OFFSET($B$5,SUM($W$6:$W147)-1,))+(OFFSET($B$5,SUM($W$6:$W147)-2,)-OFFSET($B$5,SUM($W$6:$W147)-3,))+(OFFSET($B$5,SUM($W$6:$W147)-4,)-OFFSET($B$5,SUM($W$6:$W147)-5,))</f>
        <v>#VALUE!</v>
      </c>
      <c r="AF147" s="439" t="e">
        <f ca="1">(OFFSET($B$5,SUM($W$6:$W147),)-OFFSET($B$5,SUM($W$6:$W147)-1,))+(OFFSET($B$5,SUM($W$6:$W147)-2,)-OFFSET($B$5,SUM($W$6:$W147)-3,))</f>
        <v>#VALUE!</v>
      </c>
      <c r="AG147" s="439" t="e">
        <f ca="1">(OFFSET($B$5,SUM($W$6:$W147),)-OFFSET($B$5,SUM($W$6:$W147)-1,))</f>
        <v>#VALUE!</v>
      </c>
      <c r="AH147" s="439" t="e">
        <f ca="1">(OFFSET($B$5,SUM($W$6:$W147)-1,)-OFFSET($B$5,SUM($W$6:$W147)-2,))+(OFFSET($B$5,SUM($W$6:$W147)-3,)-OFFSET($B$5,SUM($W$6:$W147)-4,))+(OFFSET($B$5,SUM($W$6:$W147)-5,)-OFFSET($B$5,SUM($W$6:$W147)-6,))+(OFFSET($B$5,SUM($W$6:$W147)-7,)-OFFSET($B$5,SUM($W$6:$W147)-8,))+(OFFSET($B$5,SUM($W$6:$W147)-9,)-OFFSET($B$5,SUM($W$6:$W147)-10,))</f>
        <v>#REF!</v>
      </c>
      <c r="AI147" s="439" t="e">
        <f ca="1">(OFFSET($B$5,SUM($W$6:$W147)-1,)-OFFSET($B$5,SUM($W$6:$W147)-2,))+(OFFSET($B$5,SUM($W$6:$W147)-3,)-OFFSET($B$5,SUM($W$6:$W147)-4,))+(OFFSET($B$5,SUM($W$6:$W147)-5,)-OFFSET($B$5,SUM($W$6:$W147)-6,))+(OFFSET($B$5,SUM($W$6:$W147)-7,)-OFFSET($B$5,SUM($W$6:$W147)-8,))</f>
        <v>#REF!</v>
      </c>
      <c r="AJ147" s="439" t="e">
        <f ca="1">(OFFSET($B$5,SUM($W$6:$W147)-1,)-OFFSET($B$5,SUM($W$6:$W147)-2,))+(OFFSET($B$5,SUM($W$6:$W147)-3,)-OFFSET($B$5,SUM($W$6:$W147)-4,))+(OFFSET($B$5,SUM($W$6:$W147)-5,)-OFFSET($B$5,SUM($W$6:$W147)-6,))</f>
        <v>#REF!</v>
      </c>
      <c r="AK147" s="439">
        <f ca="1">(OFFSET($B$5,SUM($W$6:$W147)-1,)-OFFSET($B$5,SUM($W$6:$W147)-2,))+(OFFSET($B$5,SUM($W$6:$W147)-3,)-OFFSET($B$5,SUM($W$6:$W147)-4,))</f>
        <v>0</v>
      </c>
      <c r="AL147" s="439">
        <f ca="1">(OFFSET($B$5,SUM($W$6:$W147)-1,)-OFFSET($B$5,SUM($W$6:$W147)-2,))</f>
        <v>0</v>
      </c>
      <c r="AM147" s="433">
        <v>5.875</v>
      </c>
    </row>
    <row r="148" spans="6:39" x14ac:dyDescent="0.25">
      <c r="F148" s="376">
        <v>44519</v>
      </c>
      <c r="G148" s="370">
        <f t="shared" si="85"/>
        <v>44519</v>
      </c>
      <c r="H148" s="388">
        <f t="shared" si="99"/>
        <v>0</v>
      </c>
      <c r="I148" s="388">
        <f t="shared" ca="1" si="100"/>
        <v>-0.33333333333333331</v>
      </c>
      <c r="J148" s="386">
        <f t="shared" ca="1" si="101"/>
        <v>-4</v>
      </c>
      <c r="K148" s="164"/>
      <c r="L148" s="60"/>
      <c r="T148" s="438">
        <f t="shared" si="88"/>
        <v>0</v>
      </c>
      <c r="U148" s="439" t="b">
        <f t="shared" si="89"/>
        <v>0</v>
      </c>
      <c r="V148" s="440" t="b">
        <f t="shared" si="90"/>
        <v>0</v>
      </c>
      <c r="W148" s="437">
        <f t="shared" si="91"/>
        <v>0</v>
      </c>
      <c r="X148" s="439">
        <f t="shared" si="93"/>
        <v>0</v>
      </c>
      <c r="Y148" s="439">
        <f t="shared" si="94"/>
        <v>0</v>
      </c>
      <c r="Z148" s="439">
        <f t="shared" si="67"/>
        <v>0</v>
      </c>
      <c r="AA148" s="439" t="e">
        <f ca="1">(OFFSET($B$5,SUM($W$6:$W148),)-OFFSET($B$5,(SUM($W$6:$W148)-SUM($W148:$W148)+1),))</f>
        <v>#VALUE!</v>
      </c>
      <c r="AB148" s="439" t="e">
        <f ca="1">(OFFSET($B$5,SUM($W$6:$W148),)-OFFSET($B$5,SUM($W$6:$W148)-1,))+(OFFSET($B$5,SUM($W$6:$W148)-2,)-OFFSET($B$5,SUM($W$6:$W148)-3,))+(OFFSET($B$5,SUM($W$6:$W148)-4,)-OFFSET($B$5,SUM($W$6:$W148)-5,))+(OFFSET($B$5,SUM($W$6:$W148)-6,)-OFFSET($B$5,SUM($W$6:$W148)-7,))+(OFFSET($B$5,SUM($W$6:$W148)-8,)-OFFSET($B$5,SUM($W$6:$W148)-9,))+(OFFSET($B$5,SUM($W$6:$W148)-10,)-OFFSET($B$5,SUM($W$6:$W148)-11,))</f>
        <v>#VALUE!</v>
      </c>
      <c r="AC148" s="439" t="e">
        <f ca="1">(OFFSET($B$5,SUM($W$6:$W148),)-OFFSET($B$5,SUM($W$6:$W148)-1,))+(OFFSET($B$5,SUM($W$6:$W148)-2,)-OFFSET($B$5,SUM($W$6:$W148)-3,))+(OFFSET($B$5,SUM($W$6:$W148)-4,)-OFFSET($B$5,SUM($W$6:$W148)-5,))+(OFFSET($B$5,SUM($W$6:$W148)-6,)-OFFSET($B$5,SUM($W$6:$W148)-7,))+(OFFSET($B$5,SUM($W$6:$W148)-8,)-OFFSET($B$5,SUM($W$6:$W148)-9,))</f>
        <v>#VALUE!</v>
      </c>
      <c r="AD148" s="439" t="e">
        <f ca="1">(OFFSET($B$5,SUM($W$6:$W148),)-OFFSET($B$5,SUM($W$6:$W148)-1,))+(OFFSET($B$5,SUM($W$6:$W148)-2,)-OFFSET($B$5,SUM($W$6:$W148)-3,))+(OFFSET($B$5,SUM($W$6:$W148)-4,)-OFFSET($B$5,SUM($W$6:$W148)-5,))+(OFFSET($B$5,SUM($W$6:$W148)-6,)-OFFSET($B$5,SUM($W$6:$W148)-7,))</f>
        <v>#VALUE!</v>
      </c>
      <c r="AE148" s="439" t="e">
        <f ca="1">(OFFSET($B$5,SUM($W$6:$W148),)-OFFSET($B$5,SUM($W$6:$W148)-1,))+(OFFSET($B$5,SUM($W$6:$W148)-2,)-OFFSET($B$5,SUM($W$6:$W148)-3,))+(OFFSET($B$5,SUM($W$6:$W148)-4,)-OFFSET($B$5,SUM($W$6:$W148)-5,))</f>
        <v>#VALUE!</v>
      </c>
      <c r="AF148" s="439" t="e">
        <f ca="1">(OFFSET($B$5,SUM($W$6:$W148),)-OFFSET($B$5,SUM($W$6:$W148)-1,))+(OFFSET($B$5,SUM($W$6:$W148)-2,)-OFFSET($B$5,SUM($W$6:$W148)-3,))</f>
        <v>#VALUE!</v>
      </c>
      <c r="AG148" s="439" t="e">
        <f ca="1">(OFFSET($B$5,SUM($W$6:$W148),)-OFFSET($B$5,SUM($W$6:$W148)-1,))</f>
        <v>#VALUE!</v>
      </c>
      <c r="AH148" s="439" t="e">
        <f ca="1">(OFFSET($B$5,SUM($W$6:$W148)-1,)-OFFSET($B$5,SUM($W$6:$W148)-2,))+(OFFSET($B$5,SUM($W$6:$W148)-3,)-OFFSET($B$5,SUM($W$6:$W148)-4,))+(OFFSET($B$5,SUM($W$6:$W148)-5,)-OFFSET($B$5,SUM($W$6:$W148)-6,))+(OFFSET($B$5,SUM($W$6:$W148)-7,)-OFFSET($B$5,SUM($W$6:$W148)-8,))+(OFFSET($B$5,SUM($W$6:$W148)-9,)-OFFSET($B$5,SUM($W$6:$W148)-10,))</f>
        <v>#REF!</v>
      </c>
      <c r="AI148" s="439" t="e">
        <f ca="1">(OFFSET($B$5,SUM($W$6:$W148)-1,)-OFFSET($B$5,SUM($W$6:$W148)-2,))+(OFFSET($B$5,SUM($W$6:$W148)-3,)-OFFSET($B$5,SUM($W$6:$W148)-4,))+(OFFSET($B$5,SUM($W$6:$W148)-5,)-OFFSET($B$5,SUM($W$6:$W148)-6,))+(OFFSET($B$5,SUM($W$6:$W148)-7,)-OFFSET($B$5,SUM($W$6:$W148)-8,))</f>
        <v>#REF!</v>
      </c>
      <c r="AJ148" s="439" t="e">
        <f ca="1">(OFFSET($B$5,SUM($W$6:$W148)-1,)-OFFSET($B$5,SUM($W$6:$W148)-2,))+(OFFSET($B$5,SUM($W$6:$W148)-3,)-OFFSET($B$5,SUM($W$6:$W148)-4,))+(OFFSET($B$5,SUM($W$6:$W148)-5,)-OFFSET($B$5,SUM($W$6:$W148)-6,))</f>
        <v>#REF!</v>
      </c>
      <c r="AK148" s="439">
        <f ca="1">(OFFSET($B$5,SUM($W$6:$W148)-1,)-OFFSET($B$5,SUM($W$6:$W148)-2,))+(OFFSET($B$5,SUM($W$6:$W148)-3,)-OFFSET($B$5,SUM($W$6:$W148)-4,))</f>
        <v>0</v>
      </c>
      <c r="AL148" s="439">
        <f ca="1">(OFFSET($B$5,SUM($W$6:$W148)-1,)-OFFSET($B$5,SUM($W$6:$W148)-2,))</f>
        <v>0</v>
      </c>
      <c r="AM148" s="433">
        <v>5.9166666666666696</v>
      </c>
    </row>
    <row r="149" spans="6:39" x14ac:dyDescent="0.25">
      <c r="F149" s="376">
        <v>44520</v>
      </c>
      <c r="G149" s="370">
        <f t="shared" si="85"/>
        <v>44520</v>
      </c>
      <c r="H149" s="388">
        <f t="shared" si="99"/>
        <v>0</v>
      </c>
      <c r="I149" s="388">
        <f t="shared" ca="1" si="100"/>
        <v>-0.33333333333333331</v>
      </c>
      <c r="J149" s="386">
        <f t="shared" ca="1" si="101"/>
        <v>-4.333333333333333</v>
      </c>
      <c r="K149" s="164"/>
      <c r="L149" s="60"/>
      <c r="T149" s="438">
        <f t="shared" si="88"/>
        <v>0</v>
      </c>
      <c r="U149" s="439" t="b">
        <f t="shared" si="89"/>
        <v>0</v>
      </c>
      <c r="V149" s="440" t="b">
        <f t="shared" si="90"/>
        <v>0</v>
      </c>
      <c r="W149" s="437">
        <f t="shared" si="91"/>
        <v>0</v>
      </c>
      <c r="X149" s="439">
        <f t="shared" si="93"/>
        <v>0</v>
      </c>
      <c r="Y149" s="439">
        <f t="shared" si="94"/>
        <v>0</v>
      </c>
      <c r="Z149" s="439">
        <f t="shared" si="67"/>
        <v>0</v>
      </c>
      <c r="AA149" s="439" t="e">
        <f ca="1">(OFFSET($B$5,SUM($W$6:$W149),)-OFFSET($B$5,(SUM($W$6:$W149)-SUM($W149:$W149)+1),))</f>
        <v>#VALUE!</v>
      </c>
      <c r="AB149" s="439" t="e">
        <f ca="1">(OFFSET($B$5,SUM($W$6:$W149),)-OFFSET($B$5,SUM($W$6:$W149)-1,))+(OFFSET($B$5,SUM($W$6:$W149)-2,)-OFFSET($B$5,SUM($W$6:$W149)-3,))+(OFFSET($B$5,SUM($W$6:$W149)-4,)-OFFSET($B$5,SUM($W$6:$W149)-5,))+(OFFSET($B$5,SUM($W$6:$W149)-6,)-OFFSET($B$5,SUM($W$6:$W149)-7,))+(OFFSET($B$5,SUM($W$6:$W149)-8,)-OFFSET($B$5,SUM($W$6:$W149)-9,))+(OFFSET($B$5,SUM($W$6:$W149)-10,)-OFFSET($B$5,SUM($W$6:$W149)-11,))</f>
        <v>#VALUE!</v>
      </c>
      <c r="AC149" s="439" t="e">
        <f ca="1">(OFFSET($B$5,SUM($W$6:$W149),)-OFFSET($B$5,SUM($W$6:$W149)-1,))+(OFFSET($B$5,SUM($W$6:$W149)-2,)-OFFSET($B$5,SUM($W$6:$W149)-3,))+(OFFSET($B$5,SUM($W$6:$W149)-4,)-OFFSET($B$5,SUM($W$6:$W149)-5,))+(OFFSET($B$5,SUM($W$6:$W149)-6,)-OFFSET($B$5,SUM($W$6:$W149)-7,))+(OFFSET($B$5,SUM($W$6:$W149)-8,)-OFFSET($B$5,SUM($W$6:$W149)-9,))</f>
        <v>#VALUE!</v>
      </c>
      <c r="AD149" s="439" t="e">
        <f ca="1">(OFFSET($B$5,SUM($W$6:$W149),)-OFFSET($B$5,SUM($W$6:$W149)-1,))+(OFFSET($B$5,SUM($W$6:$W149)-2,)-OFFSET($B$5,SUM($W$6:$W149)-3,))+(OFFSET($B$5,SUM($W$6:$W149)-4,)-OFFSET($B$5,SUM($W$6:$W149)-5,))+(OFFSET($B$5,SUM($W$6:$W149)-6,)-OFFSET($B$5,SUM($W$6:$W149)-7,))</f>
        <v>#VALUE!</v>
      </c>
      <c r="AE149" s="439" t="e">
        <f ca="1">(OFFSET($B$5,SUM($W$6:$W149),)-OFFSET($B$5,SUM($W$6:$W149)-1,))+(OFFSET($B$5,SUM($W$6:$W149)-2,)-OFFSET($B$5,SUM($W$6:$W149)-3,))+(OFFSET($B$5,SUM($W$6:$W149)-4,)-OFFSET($B$5,SUM($W$6:$W149)-5,))</f>
        <v>#VALUE!</v>
      </c>
      <c r="AF149" s="439" t="e">
        <f ca="1">(OFFSET($B$5,SUM($W$6:$W149),)-OFFSET($B$5,SUM($W$6:$W149)-1,))+(OFFSET($B$5,SUM($W$6:$W149)-2,)-OFFSET($B$5,SUM($W$6:$W149)-3,))</f>
        <v>#VALUE!</v>
      </c>
      <c r="AG149" s="439" t="e">
        <f ca="1">(OFFSET($B$5,SUM($W$6:$W149),)-OFFSET($B$5,SUM($W$6:$W149)-1,))</f>
        <v>#VALUE!</v>
      </c>
      <c r="AH149" s="439" t="e">
        <f ca="1">(OFFSET($B$5,SUM($W$6:$W149)-1,)-OFFSET($B$5,SUM($W$6:$W149)-2,))+(OFFSET($B$5,SUM($W$6:$W149)-3,)-OFFSET($B$5,SUM($W$6:$W149)-4,))+(OFFSET($B$5,SUM($W$6:$W149)-5,)-OFFSET($B$5,SUM($W$6:$W149)-6,))+(OFFSET($B$5,SUM($W$6:$W149)-7,)-OFFSET($B$5,SUM($W$6:$W149)-8,))+(OFFSET($B$5,SUM($W$6:$W149)-9,)-OFFSET($B$5,SUM($W$6:$W149)-10,))</f>
        <v>#REF!</v>
      </c>
      <c r="AI149" s="439" t="e">
        <f ca="1">(OFFSET($B$5,SUM($W$6:$W149)-1,)-OFFSET($B$5,SUM($W$6:$W149)-2,))+(OFFSET($B$5,SUM($W$6:$W149)-3,)-OFFSET($B$5,SUM($W$6:$W149)-4,))+(OFFSET($B$5,SUM($W$6:$W149)-5,)-OFFSET($B$5,SUM($W$6:$W149)-6,))+(OFFSET($B$5,SUM($W$6:$W149)-7,)-OFFSET($B$5,SUM($W$6:$W149)-8,))</f>
        <v>#REF!</v>
      </c>
      <c r="AJ149" s="439" t="e">
        <f ca="1">(OFFSET($B$5,SUM($W$6:$W149)-1,)-OFFSET($B$5,SUM($W$6:$W149)-2,))+(OFFSET($B$5,SUM($W$6:$W149)-3,)-OFFSET($B$5,SUM($W$6:$W149)-4,))+(OFFSET($B$5,SUM($W$6:$W149)-5,)-OFFSET($B$5,SUM($W$6:$W149)-6,))</f>
        <v>#REF!</v>
      </c>
      <c r="AK149" s="439">
        <f ca="1">(OFFSET($B$5,SUM($W$6:$W149)-1,)-OFFSET($B$5,SUM($W$6:$W149)-2,))+(OFFSET($B$5,SUM($W$6:$W149)-3,)-OFFSET($B$5,SUM($W$6:$W149)-4,))</f>
        <v>0</v>
      </c>
      <c r="AL149" s="439">
        <f ca="1">(OFFSET($B$5,SUM($W$6:$W149)-1,)-OFFSET($B$5,SUM($W$6:$W149)-2,))</f>
        <v>0</v>
      </c>
      <c r="AM149" s="433">
        <v>5.9583333333333304</v>
      </c>
    </row>
    <row r="150" spans="6:39" x14ac:dyDescent="0.25">
      <c r="F150" s="376">
        <v>44521</v>
      </c>
      <c r="G150" s="404">
        <f t="shared" ref="G150:G151" si="102">F150</f>
        <v>44521</v>
      </c>
      <c r="H150" s="389"/>
      <c r="I150" s="389"/>
      <c r="J150" s="389"/>
      <c r="K150" s="164"/>
      <c r="L150" s="60"/>
      <c r="T150" s="438">
        <f t="shared" si="88"/>
        <v>0</v>
      </c>
      <c r="U150" s="439" t="b">
        <f t="shared" si="89"/>
        <v>0</v>
      </c>
      <c r="V150" s="440" t="b">
        <f t="shared" si="90"/>
        <v>0</v>
      </c>
      <c r="W150" s="437">
        <f t="shared" si="91"/>
        <v>0</v>
      </c>
      <c r="X150" s="439">
        <f t="shared" si="93"/>
        <v>0</v>
      </c>
      <c r="Y150" s="439">
        <f t="shared" si="94"/>
        <v>0</v>
      </c>
      <c r="Z150" s="439">
        <f t="shared" si="67"/>
        <v>0</v>
      </c>
      <c r="AA150" s="439" t="e">
        <f ca="1">(OFFSET($B$5,SUM($W$6:$W150),)-OFFSET($B$5,(SUM($W$6:$W150)-SUM($W150:$W150)+1),))</f>
        <v>#VALUE!</v>
      </c>
      <c r="AB150" s="439" t="e">
        <f ca="1">(OFFSET($B$5,SUM($W$6:$W150),)-OFFSET($B$5,SUM($W$6:$W150)-1,))+(OFFSET($B$5,SUM($W$6:$W150)-2,)-OFFSET($B$5,SUM($W$6:$W150)-3,))+(OFFSET($B$5,SUM($W$6:$W150)-4,)-OFFSET($B$5,SUM($W$6:$W150)-5,))+(OFFSET($B$5,SUM($W$6:$W150)-6,)-OFFSET($B$5,SUM($W$6:$W150)-7,))+(OFFSET($B$5,SUM($W$6:$W150)-8,)-OFFSET($B$5,SUM($W$6:$W150)-9,))+(OFFSET($B$5,SUM($W$6:$W150)-10,)-OFFSET($B$5,SUM($W$6:$W150)-11,))</f>
        <v>#VALUE!</v>
      </c>
      <c r="AC150" s="439" t="e">
        <f ca="1">(OFFSET($B$5,SUM($W$6:$W150),)-OFFSET($B$5,SUM($W$6:$W150)-1,))+(OFFSET($B$5,SUM($W$6:$W150)-2,)-OFFSET($B$5,SUM($W$6:$W150)-3,))+(OFFSET($B$5,SUM($W$6:$W150)-4,)-OFFSET($B$5,SUM($W$6:$W150)-5,))+(OFFSET($B$5,SUM($W$6:$W150)-6,)-OFFSET($B$5,SUM($W$6:$W150)-7,))+(OFFSET($B$5,SUM($W$6:$W150)-8,)-OFFSET($B$5,SUM($W$6:$W150)-9,))</f>
        <v>#VALUE!</v>
      </c>
      <c r="AD150" s="439" t="e">
        <f ca="1">(OFFSET($B$5,SUM($W$6:$W150),)-OFFSET($B$5,SUM($W$6:$W150)-1,))+(OFFSET($B$5,SUM($W$6:$W150)-2,)-OFFSET($B$5,SUM($W$6:$W150)-3,))+(OFFSET($B$5,SUM($W$6:$W150)-4,)-OFFSET($B$5,SUM($W$6:$W150)-5,))+(OFFSET($B$5,SUM($W$6:$W150)-6,)-OFFSET($B$5,SUM($W$6:$W150)-7,))</f>
        <v>#VALUE!</v>
      </c>
      <c r="AE150" s="439" t="e">
        <f ca="1">(OFFSET($B$5,SUM($W$6:$W150),)-OFFSET($B$5,SUM($W$6:$W150)-1,))+(OFFSET($B$5,SUM($W$6:$W150)-2,)-OFFSET($B$5,SUM($W$6:$W150)-3,))+(OFFSET($B$5,SUM($W$6:$W150)-4,)-OFFSET($B$5,SUM($W$6:$W150)-5,))</f>
        <v>#VALUE!</v>
      </c>
      <c r="AF150" s="439" t="e">
        <f ca="1">(OFFSET($B$5,SUM($W$6:$W150),)-OFFSET($B$5,SUM($W$6:$W150)-1,))+(OFFSET($B$5,SUM($W$6:$W150)-2,)-OFFSET($B$5,SUM($W$6:$W150)-3,))</f>
        <v>#VALUE!</v>
      </c>
      <c r="AG150" s="439" t="e">
        <f ca="1">(OFFSET($B$5,SUM($W$6:$W150),)-OFFSET($B$5,SUM($W$6:$W150)-1,))</f>
        <v>#VALUE!</v>
      </c>
      <c r="AH150" s="439" t="e">
        <f ca="1">(OFFSET($B$5,SUM($W$6:$W150)-1,)-OFFSET($B$5,SUM($W$6:$W150)-2,))+(OFFSET($B$5,SUM($W$6:$W150)-3,)-OFFSET($B$5,SUM($W$6:$W150)-4,))+(OFFSET($B$5,SUM($W$6:$W150)-5,)-OFFSET($B$5,SUM($W$6:$W150)-6,))+(OFFSET($B$5,SUM($W$6:$W150)-7,)-OFFSET($B$5,SUM($W$6:$W150)-8,))+(OFFSET($B$5,SUM($W$6:$W150)-9,)-OFFSET($B$5,SUM($W$6:$W150)-10,))</f>
        <v>#REF!</v>
      </c>
      <c r="AI150" s="439" t="e">
        <f ca="1">(OFFSET($B$5,SUM($W$6:$W150)-1,)-OFFSET($B$5,SUM($W$6:$W150)-2,))+(OFFSET($B$5,SUM($W$6:$W150)-3,)-OFFSET($B$5,SUM($W$6:$W150)-4,))+(OFFSET($B$5,SUM($W$6:$W150)-5,)-OFFSET($B$5,SUM($W$6:$W150)-6,))+(OFFSET($B$5,SUM($W$6:$W150)-7,)-OFFSET($B$5,SUM($W$6:$W150)-8,))</f>
        <v>#REF!</v>
      </c>
      <c r="AJ150" s="439" t="e">
        <f ca="1">(OFFSET($B$5,SUM($W$6:$W150)-1,)-OFFSET($B$5,SUM($W$6:$W150)-2,))+(OFFSET($B$5,SUM($W$6:$W150)-3,)-OFFSET($B$5,SUM($W$6:$W150)-4,))+(OFFSET($B$5,SUM($W$6:$W150)-5,)-OFFSET($B$5,SUM($W$6:$W150)-6,))</f>
        <v>#REF!</v>
      </c>
      <c r="AK150" s="439">
        <f ca="1">(OFFSET($B$5,SUM($W$6:$W150)-1,)-OFFSET($B$5,SUM($W$6:$W150)-2,))+(OFFSET($B$5,SUM($W$6:$W150)-3,)-OFFSET($B$5,SUM($W$6:$W150)-4,))</f>
        <v>0</v>
      </c>
      <c r="AL150" s="439">
        <f ca="1">(OFFSET($B$5,SUM($W$6:$W150)-1,)-OFFSET($B$5,SUM($W$6:$W150)-2,))</f>
        <v>0</v>
      </c>
      <c r="AM150" s="433">
        <v>6</v>
      </c>
    </row>
    <row r="151" spans="6:39" x14ac:dyDescent="0.25">
      <c r="F151" s="376">
        <v>44522</v>
      </c>
      <c r="G151" s="404">
        <f t="shared" si="102"/>
        <v>44522</v>
      </c>
      <c r="H151" s="389"/>
      <c r="I151" s="389"/>
      <c r="J151" s="389"/>
      <c r="K151" s="164"/>
      <c r="L151" s="60"/>
      <c r="T151" s="438">
        <f t="shared" si="88"/>
        <v>0</v>
      </c>
      <c r="U151" s="439" t="b">
        <f t="shared" si="89"/>
        <v>0</v>
      </c>
      <c r="V151" s="440" t="b">
        <f t="shared" si="90"/>
        <v>0</v>
      </c>
      <c r="W151" s="437">
        <f t="shared" si="91"/>
        <v>0</v>
      </c>
      <c r="X151" s="439">
        <f t="shared" si="93"/>
        <v>0</v>
      </c>
      <c r="Y151" s="439">
        <f t="shared" si="94"/>
        <v>0</v>
      </c>
      <c r="Z151" s="439">
        <f t="shared" si="67"/>
        <v>0</v>
      </c>
      <c r="AA151" s="439" t="e">
        <f ca="1">(OFFSET($B$5,SUM($W$6:$W151),)-OFFSET($B$5,(SUM($W$6:$W151)-SUM($W151:$W151)+1),))</f>
        <v>#VALUE!</v>
      </c>
      <c r="AB151" s="439" t="e">
        <f ca="1">(OFFSET($B$5,SUM($W$6:$W151),)-OFFSET($B$5,SUM($W$6:$W151)-1,))+(OFFSET($B$5,SUM($W$6:$W151)-2,)-OFFSET($B$5,SUM($W$6:$W151)-3,))+(OFFSET($B$5,SUM($W$6:$W151)-4,)-OFFSET($B$5,SUM($W$6:$W151)-5,))+(OFFSET($B$5,SUM($W$6:$W151)-6,)-OFFSET($B$5,SUM($W$6:$W151)-7,))+(OFFSET($B$5,SUM($W$6:$W151)-8,)-OFFSET($B$5,SUM($W$6:$W151)-9,))+(OFFSET($B$5,SUM($W$6:$W151)-10,)-OFFSET($B$5,SUM($W$6:$W151)-11,))</f>
        <v>#VALUE!</v>
      </c>
      <c r="AC151" s="439" t="e">
        <f ca="1">(OFFSET($B$5,SUM($W$6:$W151),)-OFFSET($B$5,SUM($W$6:$W151)-1,))+(OFFSET($B$5,SUM($W$6:$W151)-2,)-OFFSET($B$5,SUM($W$6:$W151)-3,))+(OFFSET($B$5,SUM($W$6:$W151)-4,)-OFFSET($B$5,SUM($W$6:$W151)-5,))+(OFFSET($B$5,SUM($W$6:$W151)-6,)-OFFSET($B$5,SUM($W$6:$W151)-7,))+(OFFSET($B$5,SUM($W$6:$W151)-8,)-OFFSET($B$5,SUM($W$6:$W151)-9,))</f>
        <v>#VALUE!</v>
      </c>
      <c r="AD151" s="439" t="e">
        <f ca="1">(OFFSET($B$5,SUM($W$6:$W151),)-OFFSET($B$5,SUM($W$6:$W151)-1,))+(OFFSET($B$5,SUM($W$6:$W151)-2,)-OFFSET($B$5,SUM($W$6:$W151)-3,))+(OFFSET($B$5,SUM($W$6:$W151)-4,)-OFFSET($B$5,SUM($W$6:$W151)-5,))+(OFFSET($B$5,SUM($W$6:$W151)-6,)-OFFSET($B$5,SUM($W$6:$W151)-7,))</f>
        <v>#VALUE!</v>
      </c>
      <c r="AE151" s="439" t="e">
        <f ca="1">(OFFSET($B$5,SUM($W$6:$W151),)-OFFSET($B$5,SUM($W$6:$W151)-1,))+(OFFSET($B$5,SUM($W$6:$W151)-2,)-OFFSET($B$5,SUM($W$6:$W151)-3,))+(OFFSET($B$5,SUM($W$6:$W151)-4,)-OFFSET($B$5,SUM($W$6:$W151)-5,))</f>
        <v>#VALUE!</v>
      </c>
      <c r="AF151" s="439" t="e">
        <f ca="1">(OFFSET($B$5,SUM($W$6:$W151),)-OFFSET($B$5,SUM($W$6:$W151)-1,))+(OFFSET($B$5,SUM($W$6:$W151)-2,)-OFFSET($B$5,SUM($W$6:$W151)-3,))</f>
        <v>#VALUE!</v>
      </c>
      <c r="AG151" s="439" t="e">
        <f ca="1">(OFFSET($B$5,SUM($W$6:$W151),)-OFFSET($B$5,SUM($W$6:$W151)-1,))</f>
        <v>#VALUE!</v>
      </c>
      <c r="AH151" s="439" t="e">
        <f ca="1">(OFFSET($B$5,SUM($W$6:$W151)-1,)-OFFSET($B$5,SUM($W$6:$W151)-2,))+(OFFSET($B$5,SUM($W$6:$W151)-3,)-OFFSET($B$5,SUM($W$6:$W151)-4,))+(OFFSET($B$5,SUM($W$6:$W151)-5,)-OFFSET($B$5,SUM($W$6:$W151)-6,))+(OFFSET($B$5,SUM($W$6:$W151)-7,)-OFFSET($B$5,SUM($W$6:$W151)-8,))+(OFFSET($B$5,SUM($W$6:$W151)-9,)-OFFSET($B$5,SUM($W$6:$W151)-10,))</f>
        <v>#REF!</v>
      </c>
      <c r="AI151" s="439" t="e">
        <f ca="1">(OFFSET($B$5,SUM($W$6:$W151)-1,)-OFFSET($B$5,SUM($W$6:$W151)-2,))+(OFFSET($B$5,SUM($W$6:$W151)-3,)-OFFSET($B$5,SUM($W$6:$W151)-4,))+(OFFSET($B$5,SUM($W$6:$W151)-5,)-OFFSET($B$5,SUM($W$6:$W151)-6,))+(OFFSET($B$5,SUM($W$6:$W151)-7,)-OFFSET($B$5,SUM($W$6:$W151)-8,))</f>
        <v>#REF!</v>
      </c>
      <c r="AJ151" s="439" t="e">
        <f ca="1">(OFFSET($B$5,SUM($W$6:$W151)-1,)-OFFSET($B$5,SUM($W$6:$W151)-2,))+(OFFSET($B$5,SUM($W$6:$W151)-3,)-OFFSET($B$5,SUM($W$6:$W151)-4,))+(OFFSET($B$5,SUM($W$6:$W151)-5,)-OFFSET($B$5,SUM($W$6:$W151)-6,))</f>
        <v>#REF!</v>
      </c>
      <c r="AK151" s="439">
        <f ca="1">(OFFSET($B$5,SUM($W$6:$W151)-1,)-OFFSET($B$5,SUM($W$6:$W151)-2,))+(OFFSET($B$5,SUM($W$6:$W151)-3,)-OFFSET($B$5,SUM($W$6:$W151)-4,))</f>
        <v>0</v>
      </c>
      <c r="AL151" s="439">
        <f ca="1">(OFFSET($B$5,SUM($W$6:$W151)-1,)-OFFSET($B$5,SUM($W$6:$W151)-2,))</f>
        <v>0</v>
      </c>
      <c r="AM151" s="433">
        <v>6.0416666666666696</v>
      </c>
    </row>
    <row r="152" spans="6:39" x14ac:dyDescent="0.25">
      <c r="F152" s="376">
        <v>44523</v>
      </c>
      <c r="G152" s="370">
        <f t="shared" si="85"/>
        <v>44523</v>
      </c>
      <c r="H152" s="388">
        <f t="shared" ref="H152:H156" si="103">X152</f>
        <v>0</v>
      </c>
      <c r="I152" s="388">
        <f t="shared" ref="I152:I156" ca="1" si="104">IFERROR(H152+T152+OFFSET($L$130,MATCH(F152,$K$131:$K$159,0),0)-$W$2,H152-$W$2)</f>
        <v>-0.33333333333333331</v>
      </c>
      <c r="J152" s="386">
        <f ca="1">I152+J149</f>
        <v>-4.6666666666666661</v>
      </c>
      <c r="K152" s="164"/>
      <c r="L152" s="60"/>
      <c r="T152" s="438">
        <f t="shared" si="88"/>
        <v>0</v>
      </c>
      <c r="U152" s="439" t="b">
        <f t="shared" si="89"/>
        <v>0</v>
      </c>
      <c r="V152" s="440" t="b">
        <f t="shared" si="90"/>
        <v>0</v>
      </c>
      <c r="W152" s="437">
        <f t="shared" si="91"/>
        <v>0</v>
      </c>
      <c r="X152" s="439">
        <f t="shared" si="93"/>
        <v>0</v>
      </c>
      <c r="Y152" s="439">
        <f t="shared" si="94"/>
        <v>0</v>
      </c>
      <c r="Z152" s="439">
        <f t="shared" si="67"/>
        <v>0</v>
      </c>
      <c r="AA152" s="439" t="e">
        <f ca="1">(OFFSET($B$5,SUM($W$6:$W152),)-OFFSET($B$5,(SUM($W$6:$W152)-SUM($W152:$W152)+1),))</f>
        <v>#VALUE!</v>
      </c>
      <c r="AB152" s="439" t="e">
        <f ca="1">(OFFSET($B$5,SUM($W$6:$W152),)-OFFSET($B$5,SUM($W$6:$W152)-1,))+(OFFSET($B$5,SUM($W$6:$W152)-2,)-OFFSET($B$5,SUM($W$6:$W152)-3,))+(OFFSET($B$5,SUM($W$6:$W152)-4,)-OFFSET($B$5,SUM($W$6:$W152)-5,))+(OFFSET($B$5,SUM($W$6:$W152)-6,)-OFFSET($B$5,SUM($W$6:$W152)-7,))+(OFFSET($B$5,SUM($W$6:$W152)-8,)-OFFSET($B$5,SUM($W$6:$W152)-9,))+(OFFSET($B$5,SUM($W$6:$W152)-10,)-OFFSET($B$5,SUM($W$6:$W152)-11,))</f>
        <v>#VALUE!</v>
      </c>
      <c r="AC152" s="439" t="e">
        <f ca="1">(OFFSET($B$5,SUM($W$6:$W152),)-OFFSET($B$5,SUM($W$6:$W152)-1,))+(OFFSET($B$5,SUM($W$6:$W152)-2,)-OFFSET($B$5,SUM($W$6:$W152)-3,))+(OFFSET($B$5,SUM($W$6:$W152)-4,)-OFFSET($B$5,SUM($W$6:$W152)-5,))+(OFFSET($B$5,SUM($W$6:$W152)-6,)-OFFSET($B$5,SUM($W$6:$W152)-7,))+(OFFSET($B$5,SUM($W$6:$W152)-8,)-OFFSET($B$5,SUM($W$6:$W152)-9,))</f>
        <v>#VALUE!</v>
      </c>
      <c r="AD152" s="439" t="e">
        <f ca="1">(OFFSET($B$5,SUM($W$6:$W152),)-OFFSET($B$5,SUM($W$6:$W152)-1,))+(OFFSET($B$5,SUM($W$6:$W152)-2,)-OFFSET($B$5,SUM($W$6:$W152)-3,))+(OFFSET($B$5,SUM($W$6:$W152)-4,)-OFFSET($B$5,SUM($W$6:$W152)-5,))+(OFFSET($B$5,SUM($W$6:$W152)-6,)-OFFSET($B$5,SUM($W$6:$W152)-7,))</f>
        <v>#VALUE!</v>
      </c>
      <c r="AE152" s="439" t="e">
        <f ca="1">(OFFSET($B$5,SUM($W$6:$W152),)-OFFSET($B$5,SUM($W$6:$W152)-1,))+(OFFSET($B$5,SUM($W$6:$W152)-2,)-OFFSET($B$5,SUM($W$6:$W152)-3,))+(OFFSET($B$5,SUM($W$6:$W152)-4,)-OFFSET($B$5,SUM($W$6:$W152)-5,))</f>
        <v>#VALUE!</v>
      </c>
      <c r="AF152" s="439" t="e">
        <f ca="1">(OFFSET($B$5,SUM($W$6:$W152),)-OFFSET($B$5,SUM($W$6:$W152)-1,))+(OFFSET($B$5,SUM($W$6:$W152)-2,)-OFFSET($B$5,SUM($W$6:$W152)-3,))</f>
        <v>#VALUE!</v>
      </c>
      <c r="AG152" s="439" t="e">
        <f ca="1">(OFFSET($B$5,SUM($W$6:$W152),)-OFFSET($B$5,SUM($W$6:$W152)-1,))</f>
        <v>#VALUE!</v>
      </c>
      <c r="AH152" s="439" t="e">
        <f ca="1">(OFFSET($B$5,SUM($W$6:$W152)-1,)-OFFSET($B$5,SUM($W$6:$W152)-2,))+(OFFSET($B$5,SUM($W$6:$W152)-3,)-OFFSET($B$5,SUM($W$6:$W152)-4,))+(OFFSET($B$5,SUM($W$6:$W152)-5,)-OFFSET($B$5,SUM($W$6:$W152)-6,))+(OFFSET($B$5,SUM($W$6:$W152)-7,)-OFFSET($B$5,SUM($W$6:$W152)-8,))+(OFFSET($B$5,SUM($W$6:$W152)-9,)-OFFSET($B$5,SUM($W$6:$W152)-10,))</f>
        <v>#REF!</v>
      </c>
      <c r="AI152" s="439" t="e">
        <f ca="1">(OFFSET($B$5,SUM($W$6:$W152)-1,)-OFFSET($B$5,SUM($W$6:$W152)-2,))+(OFFSET($B$5,SUM($W$6:$W152)-3,)-OFFSET($B$5,SUM($W$6:$W152)-4,))+(OFFSET($B$5,SUM($W$6:$W152)-5,)-OFFSET($B$5,SUM($W$6:$W152)-6,))+(OFFSET($B$5,SUM($W$6:$W152)-7,)-OFFSET($B$5,SUM($W$6:$W152)-8,))</f>
        <v>#REF!</v>
      </c>
      <c r="AJ152" s="439" t="e">
        <f ca="1">(OFFSET($B$5,SUM($W$6:$W152)-1,)-OFFSET($B$5,SUM($W$6:$W152)-2,))+(OFFSET($B$5,SUM($W$6:$W152)-3,)-OFFSET($B$5,SUM($W$6:$W152)-4,))+(OFFSET($B$5,SUM($W$6:$W152)-5,)-OFFSET($B$5,SUM($W$6:$W152)-6,))</f>
        <v>#REF!</v>
      </c>
      <c r="AK152" s="439">
        <f ca="1">(OFFSET($B$5,SUM($W$6:$W152)-1,)-OFFSET($B$5,SUM($W$6:$W152)-2,))+(OFFSET($B$5,SUM($W$6:$W152)-3,)-OFFSET($B$5,SUM($W$6:$W152)-4,))</f>
        <v>0</v>
      </c>
      <c r="AL152" s="439">
        <f ca="1">(OFFSET($B$5,SUM($W$6:$W152)-1,)-OFFSET($B$5,SUM($W$6:$W152)-2,))</f>
        <v>0</v>
      </c>
      <c r="AM152" s="433">
        <v>6.0833333333333304</v>
      </c>
    </row>
    <row r="153" spans="6:39" x14ac:dyDescent="0.25">
      <c r="F153" s="376">
        <v>44524</v>
      </c>
      <c r="G153" s="370">
        <f t="shared" si="85"/>
        <v>44524</v>
      </c>
      <c r="H153" s="388">
        <f t="shared" si="103"/>
        <v>0</v>
      </c>
      <c r="I153" s="388">
        <f t="shared" ca="1" si="104"/>
        <v>-0.33333333333333331</v>
      </c>
      <c r="J153" s="386">
        <f ca="1">I153+J152</f>
        <v>-4.9999999999999991</v>
      </c>
      <c r="K153" s="164"/>
      <c r="L153" s="60"/>
      <c r="T153" s="438">
        <f t="shared" si="88"/>
        <v>0</v>
      </c>
      <c r="U153" s="439" t="b">
        <f t="shared" si="89"/>
        <v>0</v>
      </c>
      <c r="V153" s="440" t="b">
        <f t="shared" si="90"/>
        <v>0</v>
      </c>
      <c r="W153" s="437">
        <f t="shared" si="91"/>
        <v>0</v>
      </c>
      <c r="X153" s="439">
        <f t="shared" si="93"/>
        <v>0</v>
      </c>
      <c r="Y153" s="439">
        <f t="shared" si="94"/>
        <v>0</v>
      </c>
      <c r="Z153" s="439">
        <f t="shared" si="67"/>
        <v>0</v>
      </c>
      <c r="AA153" s="439" t="e">
        <f ca="1">(OFFSET($B$5,SUM($W$6:$W153),)-OFFSET($B$5,(SUM($W$6:$W153)-SUM($W153:$W153)+1),))</f>
        <v>#VALUE!</v>
      </c>
      <c r="AB153" s="439" t="e">
        <f ca="1">(OFFSET($B$5,SUM($W$6:$W153),)-OFFSET($B$5,SUM($W$6:$W153)-1,))+(OFFSET($B$5,SUM($W$6:$W153)-2,)-OFFSET($B$5,SUM($W$6:$W153)-3,))+(OFFSET($B$5,SUM($W$6:$W153)-4,)-OFFSET($B$5,SUM($W$6:$W153)-5,))+(OFFSET($B$5,SUM($W$6:$W153)-6,)-OFFSET($B$5,SUM($W$6:$W153)-7,))+(OFFSET($B$5,SUM($W$6:$W153)-8,)-OFFSET($B$5,SUM($W$6:$W153)-9,))+(OFFSET($B$5,SUM($W$6:$W153)-10,)-OFFSET($B$5,SUM($W$6:$W153)-11,))</f>
        <v>#VALUE!</v>
      </c>
      <c r="AC153" s="439" t="e">
        <f ca="1">(OFFSET($B$5,SUM($W$6:$W153),)-OFFSET($B$5,SUM($W$6:$W153)-1,))+(OFFSET($B$5,SUM($W$6:$W153)-2,)-OFFSET($B$5,SUM($W$6:$W153)-3,))+(OFFSET($B$5,SUM($W$6:$W153)-4,)-OFFSET($B$5,SUM($W$6:$W153)-5,))+(OFFSET($B$5,SUM($W$6:$W153)-6,)-OFFSET($B$5,SUM($W$6:$W153)-7,))+(OFFSET($B$5,SUM($W$6:$W153)-8,)-OFFSET($B$5,SUM($W$6:$W153)-9,))</f>
        <v>#VALUE!</v>
      </c>
      <c r="AD153" s="439" t="e">
        <f ca="1">(OFFSET($B$5,SUM($W$6:$W153),)-OFFSET($B$5,SUM($W$6:$W153)-1,))+(OFFSET($B$5,SUM($W$6:$W153)-2,)-OFFSET($B$5,SUM($W$6:$W153)-3,))+(OFFSET($B$5,SUM($W$6:$W153)-4,)-OFFSET($B$5,SUM($W$6:$W153)-5,))+(OFFSET($B$5,SUM($W$6:$W153)-6,)-OFFSET($B$5,SUM($W$6:$W153)-7,))</f>
        <v>#VALUE!</v>
      </c>
      <c r="AE153" s="439" t="e">
        <f ca="1">(OFFSET($B$5,SUM($W$6:$W153),)-OFFSET($B$5,SUM($W$6:$W153)-1,))+(OFFSET($B$5,SUM($W$6:$W153)-2,)-OFFSET($B$5,SUM($W$6:$W153)-3,))+(OFFSET($B$5,SUM($W$6:$W153)-4,)-OFFSET($B$5,SUM($W$6:$W153)-5,))</f>
        <v>#VALUE!</v>
      </c>
      <c r="AF153" s="439" t="e">
        <f ca="1">(OFFSET($B$5,SUM($W$6:$W153),)-OFFSET($B$5,SUM($W$6:$W153)-1,))+(OFFSET($B$5,SUM($W$6:$W153)-2,)-OFFSET($B$5,SUM($W$6:$W153)-3,))</f>
        <v>#VALUE!</v>
      </c>
      <c r="AG153" s="439" t="e">
        <f ca="1">(OFFSET($B$5,SUM($W$6:$W153),)-OFFSET($B$5,SUM($W$6:$W153)-1,))</f>
        <v>#VALUE!</v>
      </c>
      <c r="AH153" s="439" t="e">
        <f ca="1">(OFFSET($B$5,SUM($W$6:$W153)-1,)-OFFSET($B$5,SUM($W$6:$W153)-2,))+(OFFSET($B$5,SUM($W$6:$W153)-3,)-OFFSET($B$5,SUM($W$6:$W153)-4,))+(OFFSET($B$5,SUM($W$6:$W153)-5,)-OFFSET($B$5,SUM($W$6:$W153)-6,))+(OFFSET($B$5,SUM($W$6:$W153)-7,)-OFFSET($B$5,SUM($W$6:$W153)-8,))+(OFFSET($B$5,SUM($W$6:$W153)-9,)-OFFSET($B$5,SUM($W$6:$W153)-10,))</f>
        <v>#REF!</v>
      </c>
      <c r="AI153" s="439" t="e">
        <f ca="1">(OFFSET($B$5,SUM($W$6:$W153)-1,)-OFFSET($B$5,SUM($W$6:$W153)-2,))+(OFFSET($B$5,SUM($W$6:$W153)-3,)-OFFSET($B$5,SUM($W$6:$W153)-4,))+(OFFSET($B$5,SUM($W$6:$W153)-5,)-OFFSET($B$5,SUM($W$6:$W153)-6,))+(OFFSET($B$5,SUM($W$6:$W153)-7,)-OFFSET($B$5,SUM($W$6:$W153)-8,))</f>
        <v>#REF!</v>
      </c>
      <c r="AJ153" s="439" t="e">
        <f ca="1">(OFFSET($B$5,SUM($W$6:$W153)-1,)-OFFSET($B$5,SUM($W$6:$W153)-2,))+(OFFSET($B$5,SUM($W$6:$W153)-3,)-OFFSET($B$5,SUM($W$6:$W153)-4,))+(OFFSET($B$5,SUM($W$6:$W153)-5,)-OFFSET($B$5,SUM($W$6:$W153)-6,))</f>
        <v>#REF!</v>
      </c>
      <c r="AK153" s="439">
        <f ca="1">(OFFSET($B$5,SUM($W$6:$W153)-1,)-OFFSET($B$5,SUM($W$6:$W153)-2,))+(OFFSET($B$5,SUM($W$6:$W153)-3,)-OFFSET($B$5,SUM($W$6:$W153)-4,))</f>
        <v>0</v>
      </c>
      <c r="AL153" s="439">
        <f ca="1">(OFFSET($B$5,SUM($W$6:$W153)-1,)-OFFSET($B$5,SUM($W$6:$W153)-2,))</f>
        <v>0</v>
      </c>
      <c r="AM153" s="433">
        <v>6.125</v>
      </c>
    </row>
    <row r="154" spans="6:39" x14ac:dyDescent="0.25">
      <c r="F154" s="376">
        <v>44525</v>
      </c>
      <c r="G154" s="370">
        <f t="shared" si="85"/>
        <v>44525</v>
      </c>
      <c r="H154" s="388">
        <f t="shared" si="103"/>
        <v>0</v>
      </c>
      <c r="I154" s="388">
        <f t="shared" ca="1" si="104"/>
        <v>-0.33333333333333331</v>
      </c>
      <c r="J154" s="386">
        <f t="shared" ref="J154:J156" ca="1" si="105">I154+J153</f>
        <v>-5.3333333333333321</v>
      </c>
      <c r="K154" s="164"/>
      <c r="L154" s="60"/>
      <c r="T154" s="438">
        <f t="shared" si="88"/>
        <v>0</v>
      </c>
      <c r="U154" s="439" t="b">
        <f t="shared" si="89"/>
        <v>0</v>
      </c>
      <c r="V154" s="440" t="b">
        <f t="shared" si="90"/>
        <v>0</v>
      </c>
      <c r="W154" s="437">
        <f t="shared" si="91"/>
        <v>0</v>
      </c>
      <c r="X154" s="439">
        <f t="shared" si="93"/>
        <v>0</v>
      </c>
      <c r="Y154" s="439">
        <f t="shared" si="94"/>
        <v>0</v>
      </c>
      <c r="Z154" s="439">
        <f t="shared" si="67"/>
        <v>0</v>
      </c>
      <c r="AA154" s="439" t="e">
        <f ca="1">(OFFSET($B$5,SUM($W$6:$W154),)-OFFSET($B$5,(SUM($W$6:$W154)-SUM($W154:$W154)+1),))</f>
        <v>#VALUE!</v>
      </c>
      <c r="AB154" s="439" t="e">
        <f ca="1">(OFFSET($B$5,SUM($W$6:$W154),)-OFFSET($B$5,SUM($W$6:$W154)-1,))+(OFFSET($B$5,SUM($W$6:$W154)-2,)-OFFSET($B$5,SUM($W$6:$W154)-3,))+(OFFSET($B$5,SUM($W$6:$W154)-4,)-OFFSET($B$5,SUM($W$6:$W154)-5,))+(OFFSET($B$5,SUM($W$6:$W154)-6,)-OFFSET($B$5,SUM($W$6:$W154)-7,))+(OFFSET($B$5,SUM($W$6:$W154)-8,)-OFFSET($B$5,SUM($W$6:$W154)-9,))+(OFFSET($B$5,SUM($W$6:$W154)-10,)-OFFSET($B$5,SUM($W$6:$W154)-11,))</f>
        <v>#VALUE!</v>
      </c>
      <c r="AC154" s="439" t="e">
        <f ca="1">(OFFSET($B$5,SUM($W$6:$W154),)-OFFSET($B$5,SUM($W$6:$W154)-1,))+(OFFSET($B$5,SUM($W$6:$W154)-2,)-OFFSET($B$5,SUM($W$6:$W154)-3,))+(OFFSET($B$5,SUM($W$6:$W154)-4,)-OFFSET($B$5,SUM($W$6:$W154)-5,))+(OFFSET($B$5,SUM($W$6:$W154)-6,)-OFFSET($B$5,SUM($W$6:$W154)-7,))+(OFFSET($B$5,SUM($W$6:$W154)-8,)-OFFSET($B$5,SUM($W$6:$W154)-9,))</f>
        <v>#VALUE!</v>
      </c>
      <c r="AD154" s="439" t="e">
        <f ca="1">(OFFSET($B$5,SUM($W$6:$W154),)-OFFSET($B$5,SUM($W$6:$W154)-1,))+(OFFSET($B$5,SUM($W$6:$W154)-2,)-OFFSET($B$5,SUM($W$6:$W154)-3,))+(OFFSET($B$5,SUM($W$6:$W154)-4,)-OFFSET($B$5,SUM($W$6:$W154)-5,))+(OFFSET($B$5,SUM($W$6:$W154)-6,)-OFFSET($B$5,SUM($W$6:$W154)-7,))</f>
        <v>#VALUE!</v>
      </c>
      <c r="AE154" s="439" t="e">
        <f ca="1">(OFFSET($B$5,SUM($W$6:$W154),)-OFFSET($B$5,SUM($W$6:$W154)-1,))+(OFFSET($B$5,SUM($W$6:$W154)-2,)-OFFSET($B$5,SUM($W$6:$W154)-3,))+(OFFSET($B$5,SUM($W$6:$W154)-4,)-OFFSET($B$5,SUM($W$6:$W154)-5,))</f>
        <v>#VALUE!</v>
      </c>
      <c r="AF154" s="439" t="e">
        <f ca="1">(OFFSET($B$5,SUM($W$6:$W154),)-OFFSET($B$5,SUM($W$6:$W154)-1,))+(OFFSET($B$5,SUM($W$6:$W154)-2,)-OFFSET($B$5,SUM($W$6:$W154)-3,))</f>
        <v>#VALUE!</v>
      </c>
      <c r="AG154" s="439" t="e">
        <f ca="1">(OFFSET($B$5,SUM($W$6:$W154),)-OFFSET($B$5,SUM($W$6:$W154)-1,))</f>
        <v>#VALUE!</v>
      </c>
      <c r="AH154" s="439" t="e">
        <f ca="1">(OFFSET($B$5,SUM($W$6:$W154)-1,)-OFFSET($B$5,SUM($W$6:$W154)-2,))+(OFFSET($B$5,SUM($W$6:$W154)-3,)-OFFSET($B$5,SUM($W$6:$W154)-4,))+(OFFSET($B$5,SUM($W$6:$W154)-5,)-OFFSET($B$5,SUM($W$6:$W154)-6,))+(OFFSET($B$5,SUM($W$6:$W154)-7,)-OFFSET($B$5,SUM($W$6:$W154)-8,))+(OFFSET($B$5,SUM($W$6:$W154)-9,)-OFFSET($B$5,SUM($W$6:$W154)-10,))</f>
        <v>#REF!</v>
      </c>
      <c r="AI154" s="439" t="e">
        <f ca="1">(OFFSET($B$5,SUM($W$6:$W154)-1,)-OFFSET($B$5,SUM($W$6:$W154)-2,))+(OFFSET($B$5,SUM($W$6:$W154)-3,)-OFFSET($B$5,SUM($W$6:$W154)-4,))+(OFFSET($B$5,SUM($W$6:$W154)-5,)-OFFSET($B$5,SUM($W$6:$W154)-6,))+(OFFSET($B$5,SUM($W$6:$W154)-7,)-OFFSET($B$5,SUM($W$6:$W154)-8,))</f>
        <v>#REF!</v>
      </c>
      <c r="AJ154" s="439" t="e">
        <f ca="1">(OFFSET($B$5,SUM($W$6:$W154)-1,)-OFFSET($B$5,SUM($W$6:$W154)-2,))+(OFFSET($B$5,SUM($W$6:$W154)-3,)-OFFSET($B$5,SUM($W$6:$W154)-4,))+(OFFSET($B$5,SUM($W$6:$W154)-5,)-OFFSET($B$5,SUM($W$6:$W154)-6,))</f>
        <v>#REF!</v>
      </c>
      <c r="AK154" s="439">
        <f ca="1">(OFFSET($B$5,SUM($W$6:$W154)-1,)-OFFSET($B$5,SUM($W$6:$W154)-2,))+(OFFSET($B$5,SUM($W$6:$W154)-3,)-OFFSET($B$5,SUM($W$6:$W154)-4,))</f>
        <v>0</v>
      </c>
      <c r="AL154" s="439">
        <f ca="1">(OFFSET($B$5,SUM($W$6:$W154)-1,)-OFFSET($B$5,SUM($W$6:$W154)-2,))</f>
        <v>0</v>
      </c>
      <c r="AM154" s="433">
        <v>6.1666666666666696</v>
      </c>
    </row>
    <row r="155" spans="6:39" x14ac:dyDescent="0.25">
      <c r="F155" s="376">
        <v>44526</v>
      </c>
      <c r="G155" s="370">
        <f t="shared" si="85"/>
        <v>44526</v>
      </c>
      <c r="H155" s="388">
        <f t="shared" si="103"/>
        <v>0</v>
      </c>
      <c r="I155" s="388">
        <f t="shared" ca="1" si="104"/>
        <v>-0.33333333333333331</v>
      </c>
      <c r="J155" s="386">
        <f t="shared" ca="1" si="105"/>
        <v>-5.6666666666666652</v>
      </c>
      <c r="K155" s="164"/>
      <c r="L155" s="60"/>
      <c r="T155" s="438">
        <f t="shared" si="88"/>
        <v>0</v>
      </c>
      <c r="U155" s="439" t="b">
        <f t="shared" si="89"/>
        <v>0</v>
      </c>
      <c r="V155" s="440" t="b">
        <f t="shared" si="90"/>
        <v>0</v>
      </c>
      <c r="W155" s="437">
        <f t="shared" si="91"/>
        <v>0</v>
      </c>
      <c r="X155" s="439">
        <f t="shared" si="93"/>
        <v>0</v>
      </c>
      <c r="Y155" s="439">
        <f t="shared" si="94"/>
        <v>0</v>
      </c>
      <c r="Z155" s="439">
        <f t="shared" si="67"/>
        <v>0</v>
      </c>
      <c r="AA155" s="439" t="e">
        <f ca="1">(OFFSET($B$5,SUM($W$6:$W155),)-OFFSET($B$5,(SUM($W$6:$W155)-SUM($W155:$W155)+1),))</f>
        <v>#VALUE!</v>
      </c>
      <c r="AB155" s="439" t="e">
        <f ca="1">(OFFSET($B$5,SUM($W$6:$W155),)-OFFSET($B$5,SUM($W$6:$W155)-1,))+(OFFSET($B$5,SUM($W$6:$W155)-2,)-OFFSET($B$5,SUM($W$6:$W155)-3,))+(OFFSET($B$5,SUM($W$6:$W155)-4,)-OFFSET($B$5,SUM($W$6:$W155)-5,))+(OFFSET($B$5,SUM($W$6:$W155)-6,)-OFFSET($B$5,SUM($W$6:$W155)-7,))+(OFFSET($B$5,SUM($W$6:$W155)-8,)-OFFSET($B$5,SUM($W$6:$W155)-9,))+(OFFSET($B$5,SUM($W$6:$W155)-10,)-OFFSET($B$5,SUM($W$6:$W155)-11,))</f>
        <v>#VALUE!</v>
      </c>
      <c r="AC155" s="439" t="e">
        <f ca="1">(OFFSET($B$5,SUM($W$6:$W155),)-OFFSET($B$5,SUM($W$6:$W155)-1,))+(OFFSET($B$5,SUM($W$6:$W155)-2,)-OFFSET($B$5,SUM($W$6:$W155)-3,))+(OFFSET($B$5,SUM($W$6:$W155)-4,)-OFFSET($B$5,SUM($W$6:$W155)-5,))+(OFFSET($B$5,SUM($W$6:$W155)-6,)-OFFSET($B$5,SUM($W$6:$W155)-7,))+(OFFSET($B$5,SUM($W$6:$W155)-8,)-OFFSET($B$5,SUM($W$6:$W155)-9,))</f>
        <v>#VALUE!</v>
      </c>
      <c r="AD155" s="439" t="e">
        <f ca="1">(OFFSET($B$5,SUM($W$6:$W155),)-OFFSET($B$5,SUM($W$6:$W155)-1,))+(OFFSET($B$5,SUM($W$6:$W155)-2,)-OFFSET($B$5,SUM($W$6:$W155)-3,))+(OFFSET($B$5,SUM($W$6:$W155)-4,)-OFFSET($B$5,SUM($W$6:$W155)-5,))+(OFFSET($B$5,SUM($W$6:$W155)-6,)-OFFSET($B$5,SUM($W$6:$W155)-7,))</f>
        <v>#VALUE!</v>
      </c>
      <c r="AE155" s="439" t="e">
        <f ca="1">(OFFSET($B$5,SUM($W$6:$W155),)-OFFSET($B$5,SUM($W$6:$W155)-1,))+(OFFSET($B$5,SUM($W$6:$W155)-2,)-OFFSET($B$5,SUM($W$6:$W155)-3,))+(OFFSET($B$5,SUM($W$6:$W155)-4,)-OFFSET($B$5,SUM($W$6:$W155)-5,))</f>
        <v>#VALUE!</v>
      </c>
      <c r="AF155" s="439" t="e">
        <f ca="1">(OFFSET($B$5,SUM($W$6:$W155),)-OFFSET($B$5,SUM($W$6:$W155)-1,))+(OFFSET($B$5,SUM($W$6:$W155)-2,)-OFFSET($B$5,SUM($W$6:$W155)-3,))</f>
        <v>#VALUE!</v>
      </c>
      <c r="AG155" s="439" t="e">
        <f ca="1">(OFFSET($B$5,SUM($W$6:$W155),)-OFFSET($B$5,SUM($W$6:$W155)-1,))</f>
        <v>#VALUE!</v>
      </c>
      <c r="AH155" s="439" t="e">
        <f ca="1">(OFFSET($B$5,SUM($W$6:$W155)-1,)-OFFSET($B$5,SUM($W$6:$W155)-2,))+(OFFSET($B$5,SUM($W$6:$W155)-3,)-OFFSET($B$5,SUM($W$6:$W155)-4,))+(OFFSET($B$5,SUM($W$6:$W155)-5,)-OFFSET($B$5,SUM($W$6:$W155)-6,))+(OFFSET($B$5,SUM($W$6:$W155)-7,)-OFFSET($B$5,SUM($W$6:$W155)-8,))+(OFFSET($B$5,SUM($W$6:$W155)-9,)-OFFSET($B$5,SUM($W$6:$W155)-10,))</f>
        <v>#REF!</v>
      </c>
      <c r="AI155" s="439" t="e">
        <f ca="1">(OFFSET($B$5,SUM($W$6:$W155)-1,)-OFFSET($B$5,SUM($W$6:$W155)-2,))+(OFFSET($B$5,SUM($W$6:$W155)-3,)-OFFSET($B$5,SUM($W$6:$W155)-4,))+(OFFSET($B$5,SUM($W$6:$W155)-5,)-OFFSET($B$5,SUM($W$6:$W155)-6,))+(OFFSET($B$5,SUM($W$6:$W155)-7,)-OFFSET($B$5,SUM($W$6:$W155)-8,))</f>
        <v>#REF!</v>
      </c>
      <c r="AJ155" s="439" t="e">
        <f ca="1">(OFFSET($B$5,SUM($W$6:$W155)-1,)-OFFSET($B$5,SUM($W$6:$W155)-2,))+(OFFSET($B$5,SUM($W$6:$W155)-3,)-OFFSET($B$5,SUM($W$6:$W155)-4,))+(OFFSET($B$5,SUM($W$6:$W155)-5,)-OFFSET($B$5,SUM($W$6:$W155)-6,))</f>
        <v>#REF!</v>
      </c>
      <c r="AK155" s="439">
        <f ca="1">(OFFSET($B$5,SUM($W$6:$W155)-1,)-OFFSET($B$5,SUM($W$6:$W155)-2,))+(OFFSET($B$5,SUM($W$6:$W155)-3,)-OFFSET($B$5,SUM($W$6:$W155)-4,))</f>
        <v>0</v>
      </c>
      <c r="AL155" s="439">
        <f ca="1">(OFFSET($B$5,SUM($W$6:$W155)-1,)-OFFSET($B$5,SUM($W$6:$W155)-2,))</f>
        <v>0</v>
      </c>
      <c r="AM155" s="433">
        <v>6.2083333333333304</v>
      </c>
    </row>
    <row r="156" spans="6:39" x14ac:dyDescent="0.25">
      <c r="F156" s="376">
        <v>44527</v>
      </c>
      <c r="G156" s="370">
        <f t="shared" si="85"/>
        <v>44527</v>
      </c>
      <c r="H156" s="388">
        <f t="shared" si="103"/>
        <v>0</v>
      </c>
      <c r="I156" s="388">
        <f t="shared" ca="1" si="104"/>
        <v>-0.33333333333333331</v>
      </c>
      <c r="J156" s="386">
        <f t="shared" ca="1" si="105"/>
        <v>-5.9999999999999982</v>
      </c>
      <c r="K156" s="164"/>
      <c r="L156" s="60"/>
      <c r="T156" s="438">
        <f t="shared" si="88"/>
        <v>0</v>
      </c>
      <c r="U156" s="439" t="b">
        <f t="shared" si="89"/>
        <v>0</v>
      </c>
      <c r="V156" s="440" t="b">
        <f t="shared" si="90"/>
        <v>0</v>
      </c>
      <c r="W156" s="437">
        <f t="shared" si="91"/>
        <v>0</v>
      </c>
      <c r="X156" s="439">
        <f t="shared" si="93"/>
        <v>0</v>
      </c>
      <c r="Y156" s="439">
        <f t="shared" si="94"/>
        <v>0</v>
      </c>
      <c r="Z156" s="439">
        <f t="shared" si="67"/>
        <v>0</v>
      </c>
      <c r="AA156" s="439" t="e">
        <f ca="1">(OFFSET($B$5,SUM($W$6:$W156),)-OFFSET($B$5,(SUM($W$6:$W156)-SUM($W156:$W156)+1),))</f>
        <v>#VALUE!</v>
      </c>
      <c r="AB156" s="439" t="e">
        <f ca="1">(OFFSET($B$5,SUM($W$6:$W156),)-OFFSET($B$5,SUM($W$6:$W156)-1,))+(OFFSET($B$5,SUM($W$6:$W156)-2,)-OFFSET($B$5,SUM($W$6:$W156)-3,))+(OFFSET($B$5,SUM($W$6:$W156)-4,)-OFFSET($B$5,SUM($W$6:$W156)-5,))+(OFFSET($B$5,SUM($W$6:$W156)-6,)-OFFSET($B$5,SUM($W$6:$W156)-7,))+(OFFSET($B$5,SUM($W$6:$W156)-8,)-OFFSET($B$5,SUM($W$6:$W156)-9,))+(OFFSET($B$5,SUM($W$6:$W156)-10,)-OFFSET($B$5,SUM($W$6:$W156)-11,))</f>
        <v>#VALUE!</v>
      </c>
      <c r="AC156" s="439" t="e">
        <f ca="1">(OFFSET($B$5,SUM($W$6:$W156),)-OFFSET($B$5,SUM($W$6:$W156)-1,))+(OFFSET($B$5,SUM($W$6:$W156)-2,)-OFFSET($B$5,SUM($W$6:$W156)-3,))+(OFFSET($B$5,SUM($W$6:$W156)-4,)-OFFSET($B$5,SUM($W$6:$W156)-5,))+(OFFSET($B$5,SUM($W$6:$W156)-6,)-OFFSET($B$5,SUM($W$6:$W156)-7,))+(OFFSET($B$5,SUM($W$6:$W156)-8,)-OFFSET($B$5,SUM($W$6:$W156)-9,))</f>
        <v>#VALUE!</v>
      </c>
      <c r="AD156" s="439" t="e">
        <f ca="1">(OFFSET($B$5,SUM($W$6:$W156),)-OFFSET($B$5,SUM($W$6:$W156)-1,))+(OFFSET($B$5,SUM($W$6:$W156)-2,)-OFFSET($B$5,SUM($W$6:$W156)-3,))+(OFFSET($B$5,SUM($W$6:$W156)-4,)-OFFSET($B$5,SUM($W$6:$W156)-5,))+(OFFSET($B$5,SUM($W$6:$W156)-6,)-OFFSET($B$5,SUM($W$6:$W156)-7,))</f>
        <v>#VALUE!</v>
      </c>
      <c r="AE156" s="439" t="e">
        <f ca="1">(OFFSET($B$5,SUM($W$6:$W156),)-OFFSET($B$5,SUM($W$6:$W156)-1,))+(OFFSET($B$5,SUM($W$6:$W156)-2,)-OFFSET($B$5,SUM($W$6:$W156)-3,))+(OFFSET($B$5,SUM($W$6:$W156)-4,)-OFFSET($B$5,SUM($W$6:$W156)-5,))</f>
        <v>#VALUE!</v>
      </c>
      <c r="AF156" s="439" t="e">
        <f ca="1">(OFFSET($B$5,SUM($W$6:$W156),)-OFFSET($B$5,SUM($W$6:$W156)-1,))+(OFFSET($B$5,SUM($W$6:$W156)-2,)-OFFSET($B$5,SUM($W$6:$W156)-3,))</f>
        <v>#VALUE!</v>
      </c>
      <c r="AG156" s="439" t="e">
        <f ca="1">(OFFSET($B$5,SUM($W$6:$W156),)-OFFSET($B$5,SUM($W$6:$W156)-1,))</f>
        <v>#VALUE!</v>
      </c>
      <c r="AH156" s="439" t="e">
        <f ca="1">(OFFSET($B$5,SUM($W$6:$W156)-1,)-OFFSET($B$5,SUM($W$6:$W156)-2,))+(OFFSET($B$5,SUM($W$6:$W156)-3,)-OFFSET($B$5,SUM($W$6:$W156)-4,))+(OFFSET($B$5,SUM($W$6:$W156)-5,)-OFFSET($B$5,SUM($W$6:$W156)-6,))+(OFFSET($B$5,SUM($W$6:$W156)-7,)-OFFSET($B$5,SUM($W$6:$W156)-8,))+(OFFSET($B$5,SUM($W$6:$W156)-9,)-OFFSET($B$5,SUM($W$6:$W156)-10,))</f>
        <v>#REF!</v>
      </c>
      <c r="AI156" s="439" t="e">
        <f ca="1">(OFFSET($B$5,SUM($W$6:$W156)-1,)-OFFSET($B$5,SUM($W$6:$W156)-2,))+(OFFSET($B$5,SUM($W$6:$W156)-3,)-OFFSET($B$5,SUM($W$6:$W156)-4,))+(OFFSET($B$5,SUM($W$6:$W156)-5,)-OFFSET($B$5,SUM($W$6:$W156)-6,))+(OFFSET($B$5,SUM($W$6:$W156)-7,)-OFFSET($B$5,SUM($W$6:$W156)-8,))</f>
        <v>#REF!</v>
      </c>
      <c r="AJ156" s="439" t="e">
        <f ca="1">(OFFSET($B$5,SUM($W$6:$W156)-1,)-OFFSET($B$5,SUM($W$6:$W156)-2,))+(OFFSET($B$5,SUM($W$6:$W156)-3,)-OFFSET($B$5,SUM($W$6:$W156)-4,))+(OFFSET($B$5,SUM($W$6:$W156)-5,)-OFFSET($B$5,SUM($W$6:$W156)-6,))</f>
        <v>#REF!</v>
      </c>
      <c r="AK156" s="439">
        <f ca="1">(OFFSET($B$5,SUM($W$6:$W156)-1,)-OFFSET($B$5,SUM($W$6:$W156)-2,))+(OFFSET($B$5,SUM($W$6:$W156)-3,)-OFFSET($B$5,SUM($W$6:$W156)-4,))</f>
        <v>0</v>
      </c>
      <c r="AL156" s="439">
        <f ca="1">(OFFSET($B$5,SUM($W$6:$W156)-1,)-OFFSET($B$5,SUM($W$6:$W156)-2,))</f>
        <v>0</v>
      </c>
      <c r="AM156" s="433">
        <v>6.25</v>
      </c>
    </row>
    <row r="157" spans="6:39" x14ac:dyDescent="0.25">
      <c r="F157" s="376">
        <v>44528</v>
      </c>
      <c r="G157" s="404">
        <f t="shared" ref="G157:G158" si="106">F157</f>
        <v>44528</v>
      </c>
      <c r="H157" s="389"/>
      <c r="I157" s="389"/>
      <c r="J157" s="389"/>
      <c r="K157" s="164"/>
      <c r="L157" s="60"/>
      <c r="T157" s="438">
        <f t="shared" si="88"/>
        <v>0</v>
      </c>
      <c r="U157" s="439" t="b">
        <f t="shared" si="89"/>
        <v>0</v>
      </c>
      <c r="V157" s="440" t="b">
        <f t="shared" si="90"/>
        <v>0</v>
      </c>
      <c r="W157" s="437">
        <f t="shared" si="91"/>
        <v>0</v>
      </c>
      <c r="X157" s="439">
        <f t="shared" si="93"/>
        <v>0</v>
      </c>
      <c r="Y157" s="439">
        <f t="shared" si="94"/>
        <v>0</v>
      </c>
      <c r="Z157" s="439">
        <f t="shared" si="67"/>
        <v>0</v>
      </c>
      <c r="AA157" s="439" t="e">
        <f ca="1">(OFFSET($B$5,SUM($W$6:$W157),)-OFFSET($B$5,(SUM($W$6:$W157)-SUM($W157:$W157)+1),))</f>
        <v>#VALUE!</v>
      </c>
      <c r="AB157" s="439" t="e">
        <f ca="1">(OFFSET($B$5,SUM($W$6:$W157),)-OFFSET($B$5,SUM($W$6:$W157)-1,))+(OFFSET($B$5,SUM($W$6:$W157)-2,)-OFFSET($B$5,SUM($W$6:$W157)-3,))+(OFFSET($B$5,SUM($W$6:$W157)-4,)-OFFSET($B$5,SUM($W$6:$W157)-5,))+(OFFSET($B$5,SUM($W$6:$W157)-6,)-OFFSET($B$5,SUM($W$6:$W157)-7,))+(OFFSET($B$5,SUM($W$6:$W157)-8,)-OFFSET($B$5,SUM($W$6:$W157)-9,))+(OFFSET($B$5,SUM($W$6:$W157)-10,)-OFFSET($B$5,SUM($W$6:$W157)-11,))</f>
        <v>#VALUE!</v>
      </c>
      <c r="AC157" s="439" t="e">
        <f ca="1">(OFFSET($B$5,SUM($W$6:$W157),)-OFFSET($B$5,SUM($W$6:$W157)-1,))+(OFFSET($B$5,SUM($W$6:$W157)-2,)-OFFSET($B$5,SUM($W$6:$W157)-3,))+(OFFSET($B$5,SUM($W$6:$W157)-4,)-OFFSET($B$5,SUM($W$6:$W157)-5,))+(OFFSET($B$5,SUM($W$6:$W157)-6,)-OFFSET($B$5,SUM($W$6:$W157)-7,))+(OFFSET($B$5,SUM($W$6:$W157)-8,)-OFFSET($B$5,SUM($W$6:$W157)-9,))</f>
        <v>#VALUE!</v>
      </c>
      <c r="AD157" s="439" t="e">
        <f ca="1">(OFFSET($B$5,SUM($W$6:$W157),)-OFFSET($B$5,SUM($W$6:$W157)-1,))+(OFFSET($B$5,SUM($W$6:$W157)-2,)-OFFSET($B$5,SUM($W$6:$W157)-3,))+(OFFSET($B$5,SUM($W$6:$W157)-4,)-OFFSET($B$5,SUM($W$6:$W157)-5,))+(OFFSET($B$5,SUM($W$6:$W157)-6,)-OFFSET($B$5,SUM($W$6:$W157)-7,))</f>
        <v>#VALUE!</v>
      </c>
      <c r="AE157" s="439" t="e">
        <f ca="1">(OFFSET($B$5,SUM($W$6:$W157),)-OFFSET($B$5,SUM($W$6:$W157)-1,))+(OFFSET($B$5,SUM($W$6:$W157)-2,)-OFFSET($B$5,SUM($W$6:$W157)-3,))+(OFFSET($B$5,SUM($W$6:$W157)-4,)-OFFSET($B$5,SUM($W$6:$W157)-5,))</f>
        <v>#VALUE!</v>
      </c>
      <c r="AF157" s="439" t="e">
        <f ca="1">(OFFSET($B$5,SUM($W$6:$W157),)-OFFSET($B$5,SUM($W$6:$W157)-1,))+(OFFSET($B$5,SUM($W$6:$W157)-2,)-OFFSET($B$5,SUM($W$6:$W157)-3,))</f>
        <v>#VALUE!</v>
      </c>
      <c r="AG157" s="439" t="e">
        <f ca="1">(OFFSET($B$5,SUM($W$6:$W157),)-OFFSET($B$5,SUM($W$6:$W157)-1,))</f>
        <v>#VALUE!</v>
      </c>
      <c r="AH157" s="439" t="e">
        <f ca="1">(OFFSET($B$5,SUM($W$6:$W157)-1,)-OFFSET($B$5,SUM($W$6:$W157)-2,))+(OFFSET($B$5,SUM($W$6:$W157)-3,)-OFFSET($B$5,SUM($W$6:$W157)-4,))+(OFFSET($B$5,SUM($W$6:$W157)-5,)-OFFSET($B$5,SUM($W$6:$W157)-6,))+(OFFSET($B$5,SUM($W$6:$W157)-7,)-OFFSET($B$5,SUM($W$6:$W157)-8,))+(OFFSET($B$5,SUM($W$6:$W157)-9,)-OFFSET($B$5,SUM($W$6:$W157)-10,))</f>
        <v>#REF!</v>
      </c>
      <c r="AI157" s="439" t="e">
        <f ca="1">(OFFSET($B$5,SUM($W$6:$W157)-1,)-OFFSET($B$5,SUM($W$6:$W157)-2,))+(OFFSET($B$5,SUM($W$6:$W157)-3,)-OFFSET($B$5,SUM($W$6:$W157)-4,))+(OFFSET($B$5,SUM($W$6:$W157)-5,)-OFFSET($B$5,SUM($W$6:$W157)-6,))+(OFFSET($B$5,SUM($W$6:$W157)-7,)-OFFSET($B$5,SUM($W$6:$W157)-8,))</f>
        <v>#REF!</v>
      </c>
      <c r="AJ157" s="439" t="e">
        <f ca="1">(OFFSET($B$5,SUM($W$6:$W157)-1,)-OFFSET($B$5,SUM($W$6:$W157)-2,))+(OFFSET($B$5,SUM($W$6:$W157)-3,)-OFFSET($B$5,SUM($W$6:$W157)-4,))+(OFFSET($B$5,SUM($W$6:$W157)-5,)-OFFSET($B$5,SUM($W$6:$W157)-6,))</f>
        <v>#REF!</v>
      </c>
      <c r="AK157" s="439">
        <f ca="1">(OFFSET($B$5,SUM($W$6:$W157)-1,)-OFFSET($B$5,SUM($W$6:$W157)-2,))+(OFFSET($B$5,SUM($W$6:$W157)-3,)-OFFSET($B$5,SUM($W$6:$W157)-4,))</f>
        <v>0</v>
      </c>
      <c r="AL157" s="439">
        <f ca="1">(OFFSET($B$5,SUM($W$6:$W157)-1,)-OFFSET($B$5,SUM($W$6:$W157)-2,))</f>
        <v>0</v>
      </c>
      <c r="AM157" s="433">
        <v>6.2916666666666696</v>
      </c>
    </row>
    <row r="158" spans="6:39" ht="15.75" thickBot="1" x14ac:dyDescent="0.3">
      <c r="F158" s="377">
        <v>44529</v>
      </c>
      <c r="G158" s="404">
        <f t="shared" si="106"/>
        <v>44529</v>
      </c>
      <c r="H158" s="389"/>
      <c r="I158" s="389"/>
      <c r="J158" s="389"/>
      <c r="K158" s="164"/>
      <c r="L158" s="60"/>
      <c r="T158" s="438">
        <f t="shared" si="88"/>
        <v>0</v>
      </c>
      <c r="U158" s="439" t="b">
        <f t="shared" si="89"/>
        <v>0</v>
      </c>
      <c r="V158" s="440" t="b">
        <f t="shared" si="90"/>
        <v>0</v>
      </c>
      <c r="W158" s="437">
        <f t="shared" si="91"/>
        <v>0</v>
      </c>
      <c r="X158" s="439">
        <f t="shared" si="93"/>
        <v>0</v>
      </c>
      <c r="Y158" s="439">
        <f t="shared" si="94"/>
        <v>0</v>
      </c>
      <c r="Z158" s="439">
        <f t="shared" si="67"/>
        <v>0</v>
      </c>
      <c r="AA158" s="439" t="e">
        <f ca="1">(OFFSET($B$5,SUM($W$6:$W158),)-OFFSET($B$5,(SUM($W$6:$W158)-SUM($W158:$W158)+1),))</f>
        <v>#VALUE!</v>
      </c>
      <c r="AB158" s="439" t="e">
        <f ca="1">(OFFSET($B$5,SUM($W$6:$W158),)-OFFSET($B$5,SUM($W$6:$W158)-1,))+(OFFSET($B$5,SUM($W$6:$W158)-2,)-OFFSET($B$5,SUM($W$6:$W158)-3,))+(OFFSET($B$5,SUM($W$6:$W158)-4,)-OFFSET($B$5,SUM($W$6:$W158)-5,))+(OFFSET($B$5,SUM($W$6:$W158)-6,)-OFFSET($B$5,SUM($W$6:$W158)-7,))+(OFFSET($B$5,SUM($W$6:$W158)-8,)-OFFSET($B$5,SUM($W$6:$W158)-9,))+(OFFSET($B$5,SUM($W$6:$W158)-10,)-OFFSET($B$5,SUM($W$6:$W158)-11,))</f>
        <v>#VALUE!</v>
      </c>
      <c r="AC158" s="439" t="e">
        <f ca="1">(OFFSET($B$5,SUM($W$6:$W158),)-OFFSET($B$5,SUM($W$6:$W158)-1,))+(OFFSET($B$5,SUM($W$6:$W158)-2,)-OFFSET($B$5,SUM($W$6:$W158)-3,))+(OFFSET($B$5,SUM($W$6:$W158)-4,)-OFFSET($B$5,SUM($W$6:$W158)-5,))+(OFFSET($B$5,SUM($W$6:$W158)-6,)-OFFSET($B$5,SUM($W$6:$W158)-7,))+(OFFSET($B$5,SUM($W$6:$W158)-8,)-OFFSET($B$5,SUM($W$6:$W158)-9,))</f>
        <v>#VALUE!</v>
      </c>
      <c r="AD158" s="439" t="e">
        <f ca="1">(OFFSET($B$5,SUM($W$6:$W158),)-OFFSET($B$5,SUM($W$6:$W158)-1,))+(OFFSET($B$5,SUM($W$6:$W158)-2,)-OFFSET($B$5,SUM($W$6:$W158)-3,))+(OFFSET($B$5,SUM($W$6:$W158)-4,)-OFFSET($B$5,SUM($W$6:$W158)-5,))+(OFFSET($B$5,SUM($W$6:$W158)-6,)-OFFSET($B$5,SUM($W$6:$W158)-7,))</f>
        <v>#VALUE!</v>
      </c>
      <c r="AE158" s="439" t="e">
        <f ca="1">(OFFSET($B$5,SUM($W$6:$W158),)-OFFSET($B$5,SUM($W$6:$W158)-1,))+(OFFSET($B$5,SUM($W$6:$W158)-2,)-OFFSET($B$5,SUM($W$6:$W158)-3,))+(OFFSET($B$5,SUM($W$6:$W158)-4,)-OFFSET($B$5,SUM($W$6:$W158)-5,))</f>
        <v>#VALUE!</v>
      </c>
      <c r="AF158" s="439" t="e">
        <f ca="1">(OFFSET($B$5,SUM($W$6:$W158),)-OFFSET($B$5,SUM($W$6:$W158)-1,))+(OFFSET($B$5,SUM($W$6:$W158)-2,)-OFFSET($B$5,SUM($W$6:$W158)-3,))</f>
        <v>#VALUE!</v>
      </c>
      <c r="AG158" s="439" t="e">
        <f ca="1">(OFFSET($B$5,SUM($W$6:$W158),)-OFFSET($B$5,SUM($W$6:$W158)-1,))</f>
        <v>#VALUE!</v>
      </c>
      <c r="AH158" s="439" t="e">
        <f ca="1">(OFFSET($B$5,SUM($W$6:$W158)-1,)-OFFSET($B$5,SUM($W$6:$W158)-2,))+(OFFSET($B$5,SUM($W$6:$W158)-3,)-OFFSET($B$5,SUM($W$6:$W158)-4,))+(OFFSET($B$5,SUM($W$6:$W158)-5,)-OFFSET($B$5,SUM($W$6:$W158)-6,))+(OFFSET($B$5,SUM($W$6:$W158)-7,)-OFFSET($B$5,SUM($W$6:$W158)-8,))+(OFFSET($B$5,SUM($W$6:$W158)-9,)-OFFSET($B$5,SUM($W$6:$W158)-10,))</f>
        <v>#REF!</v>
      </c>
      <c r="AI158" s="439" t="e">
        <f ca="1">(OFFSET($B$5,SUM($W$6:$W158)-1,)-OFFSET($B$5,SUM($W$6:$W158)-2,))+(OFFSET($B$5,SUM($W$6:$W158)-3,)-OFFSET($B$5,SUM($W$6:$W158)-4,))+(OFFSET($B$5,SUM($W$6:$W158)-5,)-OFFSET($B$5,SUM($W$6:$W158)-6,))+(OFFSET($B$5,SUM($W$6:$W158)-7,)-OFFSET($B$5,SUM($W$6:$W158)-8,))</f>
        <v>#REF!</v>
      </c>
      <c r="AJ158" s="439" t="e">
        <f ca="1">(OFFSET($B$5,SUM($W$6:$W158)-1,)-OFFSET($B$5,SUM($W$6:$W158)-2,))+(OFFSET($B$5,SUM($W$6:$W158)-3,)-OFFSET($B$5,SUM($W$6:$W158)-4,))+(OFFSET($B$5,SUM($W$6:$W158)-5,)-OFFSET($B$5,SUM($W$6:$W158)-6,))</f>
        <v>#REF!</v>
      </c>
      <c r="AK158" s="439">
        <f ca="1">(OFFSET($B$5,SUM($W$6:$W158)-1,)-OFFSET($B$5,SUM($W$6:$W158)-2,))+(OFFSET($B$5,SUM($W$6:$W158)-3,)-OFFSET($B$5,SUM($W$6:$W158)-4,))</f>
        <v>0</v>
      </c>
      <c r="AL158" s="439">
        <f ca="1">(OFFSET($B$5,SUM($W$6:$W158)-1,)-OFFSET($B$5,SUM($W$6:$W158)-2,))</f>
        <v>0</v>
      </c>
      <c r="AM158" s="433">
        <v>6.3333333333333304</v>
      </c>
    </row>
    <row r="159" spans="6:39" ht="15.75" thickBot="1" x14ac:dyDescent="0.3">
      <c r="F159" s="448">
        <v>44530</v>
      </c>
      <c r="G159" s="370">
        <f t="shared" si="85"/>
        <v>44530</v>
      </c>
      <c r="H159" s="388">
        <f>X159</f>
        <v>0</v>
      </c>
      <c r="I159" s="388">
        <f ca="1">IFERROR(H159+T159+OFFSET($L$160,MATCH(F159,$K$161:$K$190,0),0)-$W$2,H159-$W$2)</f>
        <v>-0.33333333333333331</v>
      </c>
      <c r="J159" s="386">
        <f ca="1">I159</f>
        <v>-0.33333333333333331</v>
      </c>
      <c r="K159" s="499" t="s">
        <v>16</v>
      </c>
      <c r="L159" s="500"/>
      <c r="T159" s="438">
        <f t="shared" si="88"/>
        <v>0</v>
      </c>
      <c r="U159" s="439" t="b">
        <f t="shared" si="89"/>
        <v>0</v>
      </c>
      <c r="V159" s="440" t="b">
        <f t="shared" si="90"/>
        <v>0</v>
      </c>
      <c r="W159" s="437">
        <f t="shared" si="91"/>
        <v>0</v>
      </c>
      <c r="X159" s="439">
        <f t="shared" si="93"/>
        <v>0</v>
      </c>
      <c r="Y159" s="439">
        <f t="shared" si="94"/>
        <v>0</v>
      </c>
      <c r="Z159" s="439">
        <f t="shared" si="67"/>
        <v>0</v>
      </c>
      <c r="AA159" s="439" t="e">
        <f ca="1">(OFFSET($B$5,SUM($W$6:$W159),)-OFFSET($B$5,(SUM($W$6:$W159)-SUM($W159:$W159)+1),))</f>
        <v>#VALUE!</v>
      </c>
      <c r="AB159" s="439" t="e">
        <f ca="1">(OFFSET($B$5,SUM($W$6:$W159),)-OFFSET($B$5,SUM($W$6:$W159)-1,))+(OFFSET($B$5,SUM($W$6:$W159)-2,)-OFFSET($B$5,SUM($W$6:$W159)-3,))+(OFFSET($B$5,SUM($W$6:$W159)-4,)-OFFSET($B$5,SUM($W$6:$W159)-5,))+(OFFSET($B$5,SUM($W$6:$W159)-6,)-OFFSET($B$5,SUM($W$6:$W159)-7,))+(OFFSET($B$5,SUM($W$6:$W159)-8,)-OFFSET($B$5,SUM($W$6:$W159)-9,))+(OFFSET($B$5,SUM($W$6:$W159)-10,)-OFFSET($B$5,SUM($W$6:$W159)-11,))</f>
        <v>#VALUE!</v>
      </c>
      <c r="AC159" s="439" t="e">
        <f ca="1">(OFFSET($B$5,SUM($W$6:$W159),)-OFFSET($B$5,SUM($W$6:$W159)-1,))+(OFFSET($B$5,SUM($W$6:$W159)-2,)-OFFSET($B$5,SUM($W$6:$W159)-3,))+(OFFSET($B$5,SUM($W$6:$W159)-4,)-OFFSET($B$5,SUM($W$6:$W159)-5,))+(OFFSET($B$5,SUM($W$6:$W159)-6,)-OFFSET($B$5,SUM($W$6:$W159)-7,))+(OFFSET($B$5,SUM($W$6:$W159)-8,)-OFFSET($B$5,SUM($W$6:$W159)-9,))</f>
        <v>#VALUE!</v>
      </c>
      <c r="AD159" s="439" t="e">
        <f ca="1">(OFFSET($B$5,SUM($W$6:$W159),)-OFFSET($B$5,SUM($W$6:$W159)-1,))+(OFFSET($B$5,SUM($W$6:$W159)-2,)-OFFSET($B$5,SUM($W$6:$W159)-3,))+(OFFSET($B$5,SUM($W$6:$W159)-4,)-OFFSET($B$5,SUM($W$6:$W159)-5,))+(OFFSET($B$5,SUM($W$6:$W159)-6,)-OFFSET($B$5,SUM($W$6:$W159)-7,))</f>
        <v>#VALUE!</v>
      </c>
      <c r="AE159" s="439" t="e">
        <f ca="1">(OFFSET($B$5,SUM($W$6:$W159),)-OFFSET($B$5,SUM($W$6:$W159)-1,))+(OFFSET($B$5,SUM($W$6:$W159)-2,)-OFFSET($B$5,SUM($W$6:$W159)-3,))+(OFFSET($B$5,SUM($W$6:$W159)-4,)-OFFSET($B$5,SUM($W$6:$W159)-5,))</f>
        <v>#VALUE!</v>
      </c>
      <c r="AF159" s="439" t="e">
        <f ca="1">(OFFSET($B$5,SUM($W$6:$W159),)-OFFSET($B$5,SUM($W$6:$W159)-1,))+(OFFSET($B$5,SUM($W$6:$W159)-2,)-OFFSET($B$5,SUM($W$6:$W159)-3,))</f>
        <v>#VALUE!</v>
      </c>
      <c r="AG159" s="439" t="e">
        <f ca="1">(OFFSET($B$5,SUM($W$6:$W159),)-OFFSET($B$5,SUM($W$6:$W159)-1,))</f>
        <v>#VALUE!</v>
      </c>
      <c r="AH159" s="439" t="e">
        <f ca="1">(OFFSET($B$5,SUM($W$6:$W159)-1,)-OFFSET($B$5,SUM($W$6:$W159)-2,))+(OFFSET($B$5,SUM($W$6:$W159)-3,)-OFFSET($B$5,SUM($W$6:$W159)-4,))+(OFFSET($B$5,SUM($W$6:$W159)-5,)-OFFSET($B$5,SUM($W$6:$W159)-6,))+(OFFSET($B$5,SUM($W$6:$W159)-7,)-OFFSET($B$5,SUM($W$6:$W159)-8,))+(OFFSET($B$5,SUM($W$6:$W159)-9,)-OFFSET($B$5,SUM($W$6:$W159)-10,))</f>
        <v>#REF!</v>
      </c>
      <c r="AI159" s="439" t="e">
        <f ca="1">(OFFSET($B$5,SUM($W$6:$W159)-1,)-OFFSET($B$5,SUM($W$6:$W159)-2,))+(OFFSET($B$5,SUM($W$6:$W159)-3,)-OFFSET($B$5,SUM($W$6:$W159)-4,))+(OFFSET($B$5,SUM($W$6:$W159)-5,)-OFFSET($B$5,SUM($W$6:$W159)-6,))+(OFFSET($B$5,SUM($W$6:$W159)-7,)-OFFSET($B$5,SUM($W$6:$W159)-8,))</f>
        <v>#REF!</v>
      </c>
      <c r="AJ159" s="439" t="e">
        <f ca="1">(OFFSET($B$5,SUM($W$6:$W159)-1,)-OFFSET($B$5,SUM($W$6:$W159)-2,))+(OFFSET($B$5,SUM($W$6:$W159)-3,)-OFFSET($B$5,SUM($W$6:$W159)-4,))+(OFFSET($B$5,SUM($W$6:$W159)-5,)-OFFSET($B$5,SUM($W$6:$W159)-6,))</f>
        <v>#REF!</v>
      </c>
      <c r="AK159" s="439">
        <f ca="1">(OFFSET($B$5,SUM($W$6:$W159)-1,)-OFFSET($B$5,SUM($W$6:$W159)-2,))+(OFFSET($B$5,SUM($W$6:$W159)-3,)-OFFSET($B$5,SUM($W$6:$W159)-4,))</f>
        <v>0</v>
      </c>
      <c r="AL159" s="439">
        <f ca="1">(OFFSET($B$5,SUM($W$6:$W159)-1,)-OFFSET($B$5,SUM($W$6:$W159)-2,))</f>
        <v>0</v>
      </c>
      <c r="AM159" s="433">
        <v>6.375</v>
      </c>
    </row>
    <row r="160" spans="6:39" x14ac:dyDescent="0.25">
      <c r="F160" s="378">
        <v>44531</v>
      </c>
      <c r="G160" s="370">
        <f t="shared" si="85"/>
        <v>44531</v>
      </c>
      <c r="H160" s="388">
        <f t="shared" ref="H160:H163" si="107">X160</f>
        <v>0</v>
      </c>
      <c r="I160" s="388">
        <f t="shared" ref="I160:I163" ca="1" si="108">IFERROR(H160+T160+OFFSET($L$160,MATCH(F160,$K$161:$K$190,0),0)-$W$2,H160-$W$2)</f>
        <v>-0.33333333333333331</v>
      </c>
      <c r="J160" s="386">
        <f ca="1">I160+J159</f>
        <v>-0.66666666666666663</v>
      </c>
      <c r="K160" s="403" t="s">
        <v>14</v>
      </c>
      <c r="L160" s="394" t="s">
        <v>15</v>
      </c>
      <c r="T160" s="438">
        <f t="shared" si="88"/>
        <v>0</v>
      </c>
      <c r="U160" s="439" t="b">
        <f t="shared" si="89"/>
        <v>0</v>
      </c>
      <c r="V160" s="440" t="b">
        <f t="shared" si="90"/>
        <v>0</v>
      </c>
      <c r="W160" s="437">
        <f t="shared" si="91"/>
        <v>0</v>
      </c>
      <c r="X160" s="439">
        <f t="shared" si="93"/>
        <v>0</v>
      </c>
      <c r="Y160" s="439">
        <f t="shared" si="94"/>
        <v>0</v>
      </c>
      <c r="Z160" s="439">
        <f t="shared" si="67"/>
        <v>0</v>
      </c>
      <c r="AA160" s="439" t="e">
        <f ca="1">(OFFSET($B$5,SUM($W$6:$W160),)-OFFSET($B$5,(SUM($W$6:$W160)-SUM($W160:$W160)+1),))</f>
        <v>#VALUE!</v>
      </c>
      <c r="AB160" s="439" t="e">
        <f ca="1">(OFFSET($B$5,SUM($W$6:$W160),)-OFFSET($B$5,SUM($W$6:$W160)-1,))+(OFFSET($B$5,SUM($W$6:$W160)-2,)-OFFSET($B$5,SUM($W$6:$W160)-3,))+(OFFSET($B$5,SUM($W$6:$W160)-4,)-OFFSET($B$5,SUM($W$6:$W160)-5,))+(OFFSET($B$5,SUM($W$6:$W160)-6,)-OFFSET($B$5,SUM($W$6:$W160)-7,))+(OFFSET($B$5,SUM($W$6:$W160)-8,)-OFFSET($B$5,SUM($W$6:$W160)-9,))+(OFFSET($B$5,SUM($W$6:$W160)-10,)-OFFSET($B$5,SUM($W$6:$W160)-11,))</f>
        <v>#VALUE!</v>
      </c>
      <c r="AC160" s="439" t="e">
        <f ca="1">(OFFSET($B$5,SUM($W$6:$W160),)-OFFSET($B$5,SUM($W$6:$W160)-1,))+(OFFSET($B$5,SUM($W$6:$W160)-2,)-OFFSET($B$5,SUM($W$6:$W160)-3,))+(OFFSET($B$5,SUM($W$6:$W160)-4,)-OFFSET($B$5,SUM($W$6:$W160)-5,))+(OFFSET($B$5,SUM($W$6:$W160)-6,)-OFFSET($B$5,SUM($W$6:$W160)-7,))+(OFFSET($B$5,SUM($W$6:$W160)-8,)-OFFSET($B$5,SUM($W$6:$W160)-9,))</f>
        <v>#VALUE!</v>
      </c>
      <c r="AD160" s="439" t="e">
        <f ca="1">(OFFSET($B$5,SUM($W$6:$W160),)-OFFSET($B$5,SUM($W$6:$W160)-1,))+(OFFSET($B$5,SUM($W$6:$W160)-2,)-OFFSET($B$5,SUM($W$6:$W160)-3,))+(OFFSET($B$5,SUM($W$6:$W160)-4,)-OFFSET($B$5,SUM($W$6:$W160)-5,))+(OFFSET($B$5,SUM($W$6:$W160)-6,)-OFFSET($B$5,SUM($W$6:$W160)-7,))</f>
        <v>#VALUE!</v>
      </c>
      <c r="AE160" s="439" t="e">
        <f ca="1">(OFFSET($B$5,SUM($W$6:$W160),)-OFFSET($B$5,SUM($W$6:$W160)-1,))+(OFFSET($B$5,SUM($W$6:$W160)-2,)-OFFSET($B$5,SUM($W$6:$W160)-3,))+(OFFSET($B$5,SUM($W$6:$W160)-4,)-OFFSET($B$5,SUM($W$6:$W160)-5,))</f>
        <v>#VALUE!</v>
      </c>
      <c r="AF160" s="439" t="e">
        <f ca="1">(OFFSET($B$5,SUM($W$6:$W160),)-OFFSET($B$5,SUM($W$6:$W160)-1,))+(OFFSET($B$5,SUM($W$6:$W160)-2,)-OFFSET($B$5,SUM($W$6:$W160)-3,))</f>
        <v>#VALUE!</v>
      </c>
      <c r="AG160" s="439" t="e">
        <f ca="1">(OFFSET($B$5,SUM($W$6:$W160),)-OFFSET($B$5,SUM($W$6:$W160)-1,))</f>
        <v>#VALUE!</v>
      </c>
      <c r="AH160" s="439" t="e">
        <f ca="1">(OFFSET($B$5,SUM($W$6:$W160)-1,)-OFFSET($B$5,SUM($W$6:$W160)-2,))+(OFFSET($B$5,SUM($W$6:$W160)-3,)-OFFSET($B$5,SUM($W$6:$W160)-4,))+(OFFSET($B$5,SUM($W$6:$W160)-5,)-OFFSET($B$5,SUM($W$6:$W160)-6,))+(OFFSET($B$5,SUM($W$6:$W160)-7,)-OFFSET($B$5,SUM($W$6:$W160)-8,))+(OFFSET($B$5,SUM($W$6:$W160)-9,)-OFFSET($B$5,SUM($W$6:$W160)-10,))</f>
        <v>#REF!</v>
      </c>
      <c r="AI160" s="439" t="e">
        <f ca="1">(OFFSET($B$5,SUM($W$6:$W160)-1,)-OFFSET($B$5,SUM($W$6:$W160)-2,))+(OFFSET($B$5,SUM($W$6:$W160)-3,)-OFFSET($B$5,SUM($W$6:$W160)-4,))+(OFFSET($B$5,SUM($W$6:$W160)-5,)-OFFSET($B$5,SUM($W$6:$W160)-6,))+(OFFSET($B$5,SUM($W$6:$W160)-7,)-OFFSET($B$5,SUM($W$6:$W160)-8,))</f>
        <v>#REF!</v>
      </c>
      <c r="AJ160" s="439" t="e">
        <f ca="1">(OFFSET($B$5,SUM($W$6:$W160)-1,)-OFFSET($B$5,SUM($W$6:$W160)-2,))+(OFFSET($B$5,SUM($W$6:$W160)-3,)-OFFSET($B$5,SUM($W$6:$W160)-4,))+(OFFSET($B$5,SUM($W$6:$W160)-5,)-OFFSET($B$5,SUM($W$6:$W160)-6,))</f>
        <v>#REF!</v>
      </c>
      <c r="AK160" s="439">
        <f ca="1">(OFFSET($B$5,SUM($W$6:$W160)-1,)-OFFSET($B$5,SUM($W$6:$W160)-2,))+(OFFSET($B$5,SUM($W$6:$W160)-3,)-OFFSET($B$5,SUM($W$6:$W160)-4,))</f>
        <v>0</v>
      </c>
      <c r="AL160" s="439">
        <f ca="1">(OFFSET($B$5,SUM($W$6:$W160)-1,)-OFFSET($B$5,SUM($W$6:$W160)-2,))</f>
        <v>0</v>
      </c>
      <c r="AM160" s="433">
        <v>6.4166666666666696</v>
      </c>
    </row>
    <row r="161" spans="6:39" x14ac:dyDescent="0.25">
      <c r="F161" s="378">
        <v>44532</v>
      </c>
      <c r="G161" s="370">
        <f t="shared" si="85"/>
        <v>44532</v>
      </c>
      <c r="H161" s="388">
        <f t="shared" si="107"/>
        <v>0</v>
      </c>
      <c r="I161" s="388">
        <f t="shared" ca="1" si="108"/>
        <v>-0.33333333333333331</v>
      </c>
      <c r="J161" s="386">
        <f t="shared" ref="J161:J163" ca="1" si="109">I161+J160</f>
        <v>-1</v>
      </c>
      <c r="K161" s="163"/>
      <c r="L161" s="59"/>
      <c r="T161" s="438">
        <f t="shared" si="88"/>
        <v>0</v>
      </c>
      <c r="U161" s="439" t="b">
        <f t="shared" si="89"/>
        <v>0</v>
      </c>
      <c r="V161" s="440" t="b">
        <f t="shared" si="90"/>
        <v>0</v>
      </c>
      <c r="W161" s="437">
        <f t="shared" si="91"/>
        <v>0</v>
      </c>
      <c r="X161" s="439">
        <f t="shared" si="93"/>
        <v>0</v>
      </c>
      <c r="Y161" s="439">
        <f t="shared" si="94"/>
        <v>0</v>
      </c>
      <c r="Z161" s="439">
        <f t="shared" si="67"/>
        <v>0</v>
      </c>
      <c r="AA161" s="439" t="e">
        <f ca="1">(OFFSET($B$5,SUM($W$6:$W161),)-OFFSET($B$5,(SUM($W$6:$W161)-SUM($W161:$W161)+1),))</f>
        <v>#VALUE!</v>
      </c>
      <c r="AB161" s="439" t="e">
        <f ca="1">(OFFSET($B$5,SUM($W$6:$W161),)-OFFSET($B$5,SUM($W$6:$W161)-1,))+(OFFSET($B$5,SUM($W$6:$W161)-2,)-OFFSET($B$5,SUM($W$6:$W161)-3,))+(OFFSET($B$5,SUM($W$6:$W161)-4,)-OFFSET($B$5,SUM($W$6:$W161)-5,))+(OFFSET($B$5,SUM($W$6:$W161)-6,)-OFFSET($B$5,SUM($W$6:$W161)-7,))+(OFFSET($B$5,SUM($W$6:$W161)-8,)-OFFSET($B$5,SUM($W$6:$W161)-9,))+(OFFSET($B$5,SUM($W$6:$W161)-10,)-OFFSET($B$5,SUM($W$6:$W161)-11,))</f>
        <v>#VALUE!</v>
      </c>
      <c r="AC161" s="439" t="e">
        <f ca="1">(OFFSET($B$5,SUM($W$6:$W161),)-OFFSET($B$5,SUM($W$6:$W161)-1,))+(OFFSET($B$5,SUM($W$6:$W161)-2,)-OFFSET($B$5,SUM($W$6:$W161)-3,))+(OFFSET($B$5,SUM($W$6:$W161)-4,)-OFFSET($B$5,SUM($W$6:$W161)-5,))+(OFFSET($B$5,SUM($W$6:$W161)-6,)-OFFSET($B$5,SUM($W$6:$W161)-7,))+(OFFSET($B$5,SUM($W$6:$W161)-8,)-OFFSET($B$5,SUM($W$6:$W161)-9,))</f>
        <v>#VALUE!</v>
      </c>
      <c r="AD161" s="439" t="e">
        <f ca="1">(OFFSET($B$5,SUM($W$6:$W161),)-OFFSET($B$5,SUM($W$6:$W161)-1,))+(OFFSET($B$5,SUM($W$6:$W161)-2,)-OFFSET($B$5,SUM($W$6:$W161)-3,))+(OFFSET($B$5,SUM($W$6:$W161)-4,)-OFFSET($B$5,SUM($W$6:$W161)-5,))+(OFFSET($B$5,SUM($W$6:$W161)-6,)-OFFSET($B$5,SUM($W$6:$W161)-7,))</f>
        <v>#VALUE!</v>
      </c>
      <c r="AE161" s="439" t="e">
        <f ca="1">(OFFSET($B$5,SUM($W$6:$W161),)-OFFSET($B$5,SUM($W$6:$W161)-1,))+(OFFSET($B$5,SUM($W$6:$W161)-2,)-OFFSET($B$5,SUM($W$6:$W161)-3,))+(OFFSET($B$5,SUM($W$6:$W161)-4,)-OFFSET($B$5,SUM($W$6:$W161)-5,))</f>
        <v>#VALUE!</v>
      </c>
      <c r="AF161" s="439" t="e">
        <f ca="1">(OFFSET($B$5,SUM($W$6:$W161),)-OFFSET($B$5,SUM($W$6:$W161)-1,))+(OFFSET($B$5,SUM($W$6:$W161)-2,)-OFFSET($B$5,SUM($W$6:$W161)-3,))</f>
        <v>#VALUE!</v>
      </c>
      <c r="AG161" s="439" t="e">
        <f ca="1">(OFFSET($B$5,SUM($W$6:$W161),)-OFFSET($B$5,SUM($W$6:$W161)-1,))</f>
        <v>#VALUE!</v>
      </c>
      <c r="AH161" s="439" t="e">
        <f ca="1">(OFFSET($B$5,SUM($W$6:$W161)-1,)-OFFSET($B$5,SUM($W$6:$W161)-2,))+(OFFSET($B$5,SUM($W$6:$W161)-3,)-OFFSET($B$5,SUM($W$6:$W161)-4,))+(OFFSET($B$5,SUM($W$6:$W161)-5,)-OFFSET($B$5,SUM($W$6:$W161)-6,))+(OFFSET($B$5,SUM($W$6:$W161)-7,)-OFFSET($B$5,SUM($W$6:$W161)-8,))+(OFFSET($B$5,SUM($W$6:$W161)-9,)-OFFSET($B$5,SUM($W$6:$W161)-10,))</f>
        <v>#REF!</v>
      </c>
      <c r="AI161" s="439" t="e">
        <f ca="1">(OFFSET($B$5,SUM($W$6:$W161)-1,)-OFFSET($B$5,SUM($W$6:$W161)-2,))+(OFFSET($B$5,SUM($W$6:$W161)-3,)-OFFSET($B$5,SUM($W$6:$W161)-4,))+(OFFSET($B$5,SUM($W$6:$W161)-5,)-OFFSET($B$5,SUM($W$6:$W161)-6,))+(OFFSET($B$5,SUM($W$6:$W161)-7,)-OFFSET($B$5,SUM($W$6:$W161)-8,))</f>
        <v>#REF!</v>
      </c>
      <c r="AJ161" s="439" t="e">
        <f ca="1">(OFFSET($B$5,SUM($W$6:$W161)-1,)-OFFSET($B$5,SUM($W$6:$W161)-2,))+(OFFSET($B$5,SUM($W$6:$W161)-3,)-OFFSET($B$5,SUM($W$6:$W161)-4,))+(OFFSET($B$5,SUM($W$6:$W161)-5,)-OFFSET($B$5,SUM($W$6:$W161)-6,))</f>
        <v>#REF!</v>
      </c>
      <c r="AK161" s="439">
        <f ca="1">(OFFSET($B$5,SUM($W$6:$W161)-1,)-OFFSET($B$5,SUM($W$6:$W161)-2,))+(OFFSET($B$5,SUM($W$6:$W161)-3,)-OFFSET($B$5,SUM($W$6:$W161)-4,))</f>
        <v>0</v>
      </c>
      <c r="AL161" s="439">
        <f ca="1">(OFFSET($B$5,SUM($W$6:$W161)-1,)-OFFSET($B$5,SUM($W$6:$W161)-2,))</f>
        <v>0</v>
      </c>
      <c r="AM161" s="433">
        <v>6.4583333333333304</v>
      </c>
    </row>
    <row r="162" spans="6:39" x14ac:dyDescent="0.25">
      <c r="F162" s="378">
        <v>44533</v>
      </c>
      <c r="G162" s="370">
        <f t="shared" si="85"/>
        <v>44533</v>
      </c>
      <c r="H162" s="388">
        <f t="shared" si="107"/>
        <v>0</v>
      </c>
      <c r="I162" s="388">
        <f t="shared" ca="1" si="108"/>
        <v>-0.33333333333333331</v>
      </c>
      <c r="J162" s="386">
        <f t="shared" ca="1" si="109"/>
        <v>-1.3333333333333333</v>
      </c>
      <c r="K162" s="163"/>
      <c r="L162" s="59"/>
      <c r="T162" s="438">
        <f t="shared" si="88"/>
        <v>0</v>
      </c>
      <c r="U162" s="439" t="b">
        <f t="shared" si="89"/>
        <v>0</v>
      </c>
      <c r="V162" s="440" t="b">
        <f t="shared" si="90"/>
        <v>0</v>
      </c>
      <c r="W162" s="437">
        <f t="shared" si="91"/>
        <v>0</v>
      </c>
      <c r="X162" s="439">
        <f t="shared" si="93"/>
        <v>0</v>
      </c>
      <c r="Y162" s="439">
        <f t="shared" si="94"/>
        <v>0</v>
      </c>
      <c r="Z162" s="439">
        <f t="shared" si="67"/>
        <v>0</v>
      </c>
      <c r="AA162" s="439" t="e">
        <f ca="1">(OFFSET($B$5,SUM($W$6:$W162),)-OFFSET($B$5,(SUM($W$6:$W162)-SUM($W162:$W162)+1),))</f>
        <v>#VALUE!</v>
      </c>
      <c r="AB162" s="439" t="e">
        <f ca="1">(OFFSET($B$5,SUM($W$6:$W162),)-OFFSET($B$5,SUM($W$6:$W162)-1,))+(OFFSET($B$5,SUM($W$6:$W162)-2,)-OFFSET($B$5,SUM($W$6:$W162)-3,))+(OFFSET($B$5,SUM($W$6:$W162)-4,)-OFFSET($B$5,SUM($W$6:$W162)-5,))+(OFFSET($B$5,SUM($W$6:$W162)-6,)-OFFSET($B$5,SUM($W$6:$W162)-7,))+(OFFSET($B$5,SUM($W$6:$W162)-8,)-OFFSET($B$5,SUM($W$6:$W162)-9,))+(OFFSET($B$5,SUM($W$6:$W162)-10,)-OFFSET($B$5,SUM($W$6:$W162)-11,))</f>
        <v>#VALUE!</v>
      </c>
      <c r="AC162" s="439" t="e">
        <f ca="1">(OFFSET($B$5,SUM($W$6:$W162),)-OFFSET($B$5,SUM($W$6:$W162)-1,))+(OFFSET($B$5,SUM($W$6:$W162)-2,)-OFFSET($B$5,SUM($W$6:$W162)-3,))+(OFFSET($B$5,SUM($W$6:$W162)-4,)-OFFSET($B$5,SUM($W$6:$W162)-5,))+(OFFSET($B$5,SUM($W$6:$W162)-6,)-OFFSET($B$5,SUM($W$6:$W162)-7,))+(OFFSET($B$5,SUM($W$6:$W162)-8,)-OFFSET($B$5,SUM($W$6:$W162)-9,))</f>
        <v>#VALUE!</v>
      </c>
      <c r="AD162" s="439" t="e">
        <f ca="1">(OFFSET($B$5,SUM($W$6:$W162),)-OFFSET($B$5,SUM($W$6:$W162)-1,))+(OFFSET($B$5,SUM($W$6:$W162)-2,)-OFFSET($B$5,SUM($W$6:$W162)-3,))+(OFFSET($B$5,SUM($W$6:$W162)-4,)-OFFSET($B$5,SUM($W$6:$W162)-5,))+(OFFSET($B$5,SUM($W$6:$W162)-6,)-OFFSET($B$5,SUM($W$6:$W162)-7,))</f>
        <v>#VALUE!</v>
      </c>
      <c r="AE162" s="439" t="e">
        <f ca="1">(OFFSET($B$5,SUM($W$6:$W162),)-OFFSET($B$5,SUM($W$6:$W162)-1,))+(OFFSET($B$5,SUM($W$6:$W162)-2,)-OFFSET($B$5,SUM($W$6:$W162)-3,))+(OFFSET($B$5,SUM($W$6:$W162)-4,)-OFFSET($B$5,SUM($W$6:$W162)-5,))</f>
        <v>#VALUE!</v>
      </c>
      <c r="AF162" s="439" t="e">
        <f ca="1">(OFFSET($B$5,SUM($W$6:$W162),)-OFFSET($B$5,SUM($W$6:$W162)-1,))+(OFFSET($B$5,SUM($W$6:$W162)-2,)-OFFSET($B$5,SUM($W$6:$W162)-3,))</f>
        <v>#VALUE!</v>
      </c>
      <c r="AG162" s="439" t="e">
        <f ca="1">(OFFSET($B$5,SUM($W$6:$W162),)-OFFSET($B$5,SUM($W$6:$W162)-1,))</f>
        <v>#VALUE!</v>
      </c>
      <c r="AH162" s="439" t="e">
        <f ca="1">(OFFSET($B$5,SUM($W$6:$W162)-1,)-OFFSET($B$5,SUM($W$6:$W162)-2,))+(OFFSET($B$5,SUM($W$6:$W162)-3,)-OFFSET($B$5,SUM($W$6:$W162)-4,))+(OFFSET($B$5,SUM($W$6:$W162)-5,)-OFFSET($B$5,SUM($W$6:$W162)-6,))+(OFFSET($B$5,SUM($W$6:$W162)-7,)-OFFSET($B$5,SUM($W$6:$W162)-8,))+(OFFSET($B$5,SUM($W$6:$W162)-9,)-OFFSET($B$5,SUM($W$6:$W162)-10,))</f>
        <v>#REF!</v>
      </c>
      <c r="AI162" s="439" t="e">
        <f ca="1">(OFFSET($B$5,SUM($W$6:$W162)-1,)-OFFSET($B$5,SUM($W$6:$W162)-2,))+(OFFSET($B$5,SUM($W$6:$W162)-3,)-OFFSET($B$5,SUM($W$6:$W162)-4,))+(OFFSET($B$5,SUM($W$6:$W162)-5,)-OFFSET($B$5,SUM($W$6:$W162)-6,))+(OFFSET($B$5,SUM($W$6:$W162)-7,)-OFFSET($B$5,SUM($W$6:$W162)-8,))</f>
        <v>#REF!</v>
      </c>
      <c r="AJ162" s="439" t="e">
        <f ca="1">(OFFSET($B$5,SUM($W$6:$W162)-1,)-OFFSET($B$5,SUM($W$6:$W162)-2,))+(OFFSET($B$5,SUM($W$6:$W162)-3,)-OFFSET($B$5,SUM($W$6:$W162)-4,))+(OFFSET($B$5,SUM($W$6:$W162)-5,)-OFFSET($B$5,SUM($W$6:$W162)-6,))</f>
        <v>#REF!</v>
      </c>
      <c r="AK162" s="439">
        <f ca="1">(OFFSET($B$5,SUM($W$6:$W162)-1,)-OFFSET($B$5,SUM($W$6:$W162)-2,))+(OFFSET($B$5,SUM($W$6:$W162)-3,)-OFFSET($B$5,SUM($W$6:$W162)-4,))</f>
        <v>0</v>
      </c>
      <c r="AL162" s="439">
        <f ca="1">(OFFSET($B$5,SUM($W$6:$W162)-1,)-OFFSET($B$5,SUM($W$6:$W162)-2,))</f>
        <v>0</v>
      </c>
      <c r="AM162" s="433">
        <v>6.5</v>
      </c>
    </row>
    <row r="163" spans="6:39" x14ac:dyDescent="0.25">
      <c r="F163" s="378">
        <v>44534</v>
      </c>
      <c r="G163" s="370">
        <f t="shared" si="85"/>
        <v>44534</v>
      </c>
      <c r="H163" s="388">
        <f t="shared" si="107"/>
        <v>0</v>
      </c>
      <c r="I163" s="388">
        <f t="shared" ca="1" si="108"/>
        <v>-0.33333333333333331</v>
      </c>
      <c r="J163" s="386">
        <f t="shared" ca="1" si="109"/>
        <v>-1.6666666666666665</v>
      </c>
      <c r="K163" s="163"/>
      <c r="L163" s="59"/>
      <c r="T163" s="438">
        <f t="shared" si="88"/>
        <v>0</v>
      </c>
      <c r="U163" s="439" t="b">
        <f t="shared" si="89"/>
        <v>0</v>
      </c>
      <c r="V163" s="440" t="b">
        <f t="shared" si="90"/>
        <v>0</v>
      </c>
      <c r="W163" s="437">
        <f t="shared" si="91"/>
        <v>0</v>
      </c>
      <c r="X163" s="439">
        <f t="shared" si="93"/>
        <v>0</v>
      </c>
      <c r="Y163" s="439">
        <f t="shared" si="94"/>
        <v>0</v>
      </c>
      <c r="Z163" s="439">
        <f t="shared" si="67"/>
        <v>0</v>
      </c>
      <c r="AA163" s="439" t="e">
        <f ca="1">(OFFSET($B$5,SUM($W$6:$W163),)-OFFSET($B$5,(SUM($W$6:$W163)-SUM($W163:$W163)+1),))</f>
        <v>#VALUE!</v>
      </c>
      <c r="AB163" s="439" t="e">
        <f ca="1">(OFFSET($B$5,SUM($W$6:$W163),)-OFFSET($B$5,SUM($W$6:$W163)-1,))+(OFFSET($B$5,SUM($W$6:$W163)-2,)-OFFSET($B$5,SUM($W$6:$W163)-3,))+(OFFSET($B$5,SUM($W$6:$W163)-4,)-OFFSET($B$5,SUM($W$6:$W163)-5,))+(OFFSET($B$5,SUM($W$6:$W163)-6,)-OFFSET($B$5,SUM($W$6:$W163)-7,))+(OFFSET($B$5,SUM($W$6:$W163)-8,)-OFFSET($B$5,SUM($W$6:$W163)-9,))+(OFFSET($B$5,SUM($W$6:$W163)-10,)-OFFSET($B$5,SUM($W$6:$W163)-11,))</f>
        <v>#VALUE!</v>
      </c>
      <c r="AC163" s="439" t="e">
        <f ca="1">(OFFSET($B$5,SUM($W$6:$W163),)-OFFSET($B$5,SUM($W$6:$W163)-1,))+(OFFSET($B$5,SUM($W$6:$W163)-2,)-OFFSET($B$5,SUM($W$6:$W163)-3,))+(OFFSET($B$5,SUM($W$6:$W163)-4,)-OFFSET($B$5,SUM($W$6:$W163)-5,))+(OFFSET($B$5,SUM($W$6:$W163)-6,)-OFFSET($B$5,SUM($W$6:$W163)-7,))+(OFFSET($B$5,SUM($W$6:$W163)-8,)-OFFSET($B$5,SUM($W$6:$W163)-9,))</f>
        <v>#VALUE!</v>
      </c>
      <c r="AD163" s="439" t="e">
        <f ca="1">(OFFSET($B$5,SUM($W$6:$W163),)-OFFSET($B$5,SUM($W$6:$W163)-1,))+(OFFSET($B$5,SUM($W$6:$W163)-2,)-OFFSET($B$5,SUM($W$6:$W163)-3,))+(OFFSET($B$5,SUM($W$6:$W163)-4,)-OFFSET($B$5,SUM($W$6:$W163)-5,))+(OFFSET($B$5,SUM($W$6:$W163)-6,)-OFFSET($B$5,SUM($W$6:$W163)-7,))</f>
        <v>#VALUE!</v>
      </c>
      <c r="AE163" s="439" t="e">
        <f ca="1">(OFFSET($B$5,SUM($W$6:$W163),)-OFFSET($B$5,SUM($W$6:$W163)-1,))+(OFFSET($B$5,SUM($W$6:$W163)-2,)-OFFSET($B$5,SUM($W$6:$W163)-3,))+(OFFSET($B$5,SUM($W$6:$W163)-4,)-OFFSET($B$5,SUM($W$6:$W163)-5,))</f>
        <v>#VALUE!</v>
      </c>
      <c r="AF163" s="439" t="e">
        <f ca="1">(OFFSET($B$5,SUM($W$6:$W163),)-OFFSET($B$5,SUM($W$6:$W163)-1,))+(OFFSET($B$5,SUM($W$6:$W163)-2,)-OFFSET($B$5,SUM($W$6:$W163)-3,))</f>
        <v>#VALUE!</v>
      </c>
      <c r="AG163" s="439" t="e">
        <f ca="1">(OFFSET($B$5,SUM($W$6:$W163),)-OFFSET($B$5,SUM($W$6:$W163)-1,))</f>
        <v>#VALUE!</v>
      </c>
      <c r="AH163" s="439" t="e">
        <f ca="1">(OFFSET($B$5,SUM($W$6:$W163)-1,)-OFFSET($B$5,SUM($W$6:$W163)-2,))+(OFFSET($B$5,SUM($W$6:$W163)-3,)-OFFSET($B$5,SUM($W$6:$W163)-4,))+(OFFSET($B$5,SUM($W$6:$W163)-5,)-OFFSET($B$5,SUM($W$6:$W163)-6,))+(OFFSET($B$5,SUM($W$6:$W163)-7,)-OFFSET($B$5,SUM($W$6:$W163)-8,))+(OFFSET($B$5,SUM($W$6:$W163)-9,)-OFFSET($B$5,SUM($W$6:$W163)-10,))</f>
        <v>#REF!</v>
      </c>
      <c r="AI163" s="439" t="e">
        <f ca="1">(OFFSET($B$5,SUM($W$6:$W163)-1,)-OFFSET($B$5,SUM($W$6:$W163)-2,))+(OFFSET($B$5,SUM($W$6:$W163)-3,)-OFFSET($B$5,SUM($W$6:$W163)-4,))+(OFFSET($B$5,SUM($W$6:$W163)-5,)-OFFSET($B$5,SUM($W$6:$W163)-6,))+(OFFSET($B$5,SUM($W$6:$W163)-7,)-OFFSET($B$5,SUM($W$6:$W163)-8,))</f>
        <v>#REF!</v>
      </c>
      <c r="AJ163" s="439" t="e">
        <f ca="1">(OFFSET($B$5,SUM($W$6:$W163)-1,)-OFFSET($B$5,SUM($W$6:$W163)-2,))+(OFFSET($B$5,SUM($W$6:$W163)-3,)-OFFSET($B$5,SUM($W$6:$W163)-4,))+(OFFSET($B$5,SUM($W$6:$W163)-5,)-OFFSET($B$5,SUM($W$6:$W163)-6,))</f>
        <v>#REF!</v>
      </c>
      <c r="AK163" s="439">
        <f ca="1">(OFFSET($B$5,SUM($W$6:$W163)-1,)-OFFSET($B$5,SUM($W$6:$W163)-2,))+(OFFSET($B$5,SUM($W$6:$W163)-3,)-OFFSET($B$5,SUM($W$6:$W163)-4,))</f>
        <v>0</v>
      </c>
      <c r="AL163" s="439">
        <f ca="1">(OFFSET($B$5,SUM($W$6:$W163)-1,)-OFFSET($B$5,SUM($W$6:$W163)-2,))</f>
        <v>0</v>
      </c>
      <c r="AM163" s="433">
        <v>6.5416666666666696</v>
      </c>
    </row>
    <row r="164" spans="6:39" x14ac:dyDescent="0.25">
      <c r="F164" s="378">
        <v>44535</v>
      </c>
      <c r="G164" s="404">
        <f t="shared" ref="G164:G165" si="110">F164</f>
        <v>44535</v>
      </c>
      <c r="H164" s="389"/>
      <c r="I164" s="389"/>
      <c r="J164" s="389"/>
      <c r="K164" s="163"/>
      <c r="L164" s="59"/>
      <c r="T164" s="438">
        <f t="shared" si="88"/>
        <v>0</v>
      </c>
      <c r="U164" s="439" t="b">
        <f t="shared" si="89"/>
        <v>0</v>
      </c>
      <c r="V164" s="440" t="b">
        <f t="shared" si="90"/>
        <v>0</v>
      </c>
      <c r="W164" s="437">
        <f t="shared" si="91"/>
        <v>0</v>
      </c>
      <c r="X164" s="439">
        <f t="shared" si="93"/>
        <v>0</v>
      </c>
      <c r="Y164" s="439">
        <f t="shared" si="94"/>
        <v>0</v>
      </c>
      <c r="Z164" s="439">
        <f t="shared" si="67"/>
        <v>0</v>
      </c>
      <c r="AA164" s="439" t="e">
        <f ca="1">(OFFSET($B$5,SUM($W$6:$W164),)-OFFSET($B$5,(SUM($W$6:$W164)-SUM($W164:$W164)+1),))</f>
        <v>#VALUE!</v>
      </c>
      <c r="AB164" s="439" t="e">
        <f ca="1">(OFFSET($B$5,SUM($W$6:$W164),)-OFFSET($B$5,SUM($W$6:$W164)-1,))+(OFFSET($B$5,SUM($W$6:$W164)-2,)-OFFSET($B$5,SUM($W$6:$W164)-3,))+(OFFSET($B$5,SUM($W$6:$W164)-4,)-OFFSET($B$5,SUM($W$6:$W164)-5,))+(OFFSET($B$5,SUM($W$6:$W164)-6,)-OFFSET($B$5,SUM($W$6:$W164)-7,))+(OFFSET($B$5,SUM($W$6:$W164)-8,)-OFFSET($B$5,SUM($W$6:$W164)-9,))+(OFFSET($B$5,SUM($W$6:$W164)-10,)-OFFSET($B$5,SUM($W$6:$W164)-11,))</f>
        <v>#VALUE!</v>
      </c>
      <c r="AC164" s="439" t="e">
        <f ca="1">(OFFSET($B$5,SUM($W$6:$W164),)-OFFSET($B$5,SUM($W$6:$W164)-1,))+(OFFSET($B$5,SUM($W$6:$W164)-2,)-OFFSET($B$5,SUM($W$6:$W164)-3,))+(OFFSET($B$5,SUM($W$6:$W164)-4,)-OFFSET($B$5,SUM($W$6:$W164)-5,))+(OFFSET($B$5,SUM($W$6:$W164)-6,)-OFFSET($B$5,SUM($W$6:$W164)-7,))+(OFFSET($B$5,SUM($W$6:$W164)-8,)-OFFSET($B$5,SUM($W$6:$W164)-9,))</f>
        <v>#VALUE!</v>
      </c>
      <c r="AD164" s="439" t="e">
        <f ca="1">(OFFSET($B$5,SUM($W$6:$W164),)-OFFSET($B$5,SUM($W$6:$W164)-1,))+(OFFSET($B$5,SUM($W$6:$W164)-2,)-OFFSET($B$5,SUM($W$6:$W164)-3,))+(OFFSET($B$5,SUM($W$6:$W164)-4,)-OFFSET($B$5,SUM($W$6:$W164)-5,))+(OFFSET($B$5,SUM($W$6:$W164)-6,)-OFFSET($B$5,SUM($W$6:$W164)-7,))</f>
        <v>#VALUE!</v>
      </c>
      <c r="AE164" s="439" t="e">
        <f ca="1">(OFFSET($B$5,SUM($W$6:$W164),)-OFFSET($B$5,SUM($W$6:$W164)-1,))+(OFFSET($B$5,SUM($W$6:$W164)-2,)-OFFSET($B$5,SUM($W$6:$W164)-3,))+(OFFSET($B$5,SUM($W$6:$W164)-4,)-OFFSET($B$5,SUM($W$6:$W164)-5,))</f>
        <v>#VALUE!</v>
      </c>
      <c r="AF164" s="439" t="e">
        <f ca="1">(OFFSET($B$5,SUM($W$6:$W164),)-OFFSET($B$5,SUM($W$6:$W164)-1,))+(OFFSET($B$5,SUM($W$6:$W164)-2,)-OFFSET($B$5,SUM($W$6:$W164)-3,))</f>
        <v>#VALUE!</v>
      </c>
      <c r="AG164" s="439" t="e">
        <f ca="1">(OFFSET($B$5,SUM($W$6:$W164),)-OFFSET($B$5,SUM($W$6:$W164)-1,))</f>
        <v>#VALUE!</v>
      </c>
      <c r="AH164" s="439" t="e">
        <f ca="1">(OFFSET($B$5,SUM($W$6:$W164)-1,)-OFFSET($B$5,SUM($W$6:$W164)-2,))+(OFFSET($B$5,SUM($W$6:$W164)-3,)-OFFSET($B$5,SUM($W$6:$W164)-4,))+(OFFSET($B$5,SUM($W$6:$W164)-5,)-OFFSET($B$5,SUM($W$6:$W164)-6,))+(OFFSET($B$5,SUM($W$6:$W164)-7,)-OFFSET($B$5,SUM($W$6:$W164)-8,))+(OFFSET($B$5,SUM($W$6:$W164)-9,)-OFFSET($B$5,SUM($W$6:$W164)-10,))</f>
        <v>#REF!</v>
      </c>
      <c r="AI164" s="439" t="e">
        <f ca="1">(OFFSET($B$5,SUM($W$6:$W164)-1,)-OFFSET($B$5,SUM($W$6:$W164)-2,))+(OFFSET($B$5,SUM($W$6:$W164)-3,)-OFFSET($B$5,SUM($W$6:$W164)-4,))+(OFFSET($B$5,SUM($W$6:$W164)-5,)-OFFSET($B$5,SUM($W$6:$W164)-6,))+(OFFSET($B$5,SUM($W$6:$W164)-7,)-OFFSET($B$5,SUM($W$6:$W164)-8,))</f>
        <v>#REF!</v>
      </c>
      <c r="AJ164" s="439" t="e">
        <f ca="1">(OFFSET($B$5,SUM($W$6:$W164)-1,)-OFFSET($B$5,SUM($W$6:$W164)-2,))+(OFFSET($B$5,SUM($W$6:$W164)-3,)-OFFSET($B$5,SUM($W$6:$W164)-4,))+(OFFSET($B$5,SUM($W$6:$W164)-5,)-OFFSET($B$5,SUM($W$6:$W164)-6,))</f>
        <v>#REF!</v>
      </c>
      <c r="AK164" s="439">
        <f ca="1">(OFFSET($B$5,SUM($W$6:$W164)-1,)-OFFSET($B$5,SUM($W$6:$W164)-2,))+(OFFSET($B$5,SUM($W$6:$W164)-3,)-OFFSET($B$5,SUM($W$6:$W164)-4,))</f>
        <v>0</v>
      </c>
      <c r="AL164" s="439">
        <f ca="1">(OFFSET($B$5,SUM($W$6:$W164)-1,)-OFFSET($B$5,SUM($W$6:$W164)-2,))</f>
        <v>0</v>
      </c>
      <c r="AM164" s="433">
        <v>6.5833333333333304</v>
      </c>
    </row>
    <row r="165" spans="6:39" x14ac:dyDescent="0.25">
      <c r="F165" s="378">
        <v>44536</v>
      </c>
      <c r="G165" s="404">
        <f t="shared" si="110"/>
        <v>44536</v>
      </c>
      <c r="H165" s="389"/>
      <c r="I165" s="389"/>
      <c r="J165" s="389"/>
      <c r="K165" s="163"/>
      <c r="L165" s="59"/>
      <c r="T165" s="438">
        <f t="shared" si="88"/>
        <v>0</v>
      </c>
      <c r="U165" s="439" t="b">
        <f t="shared" si="89"/>
        <v>0</v>
      </c>
      <c r="V165" s="440" t="b">
        <f t="shared" si="90"/>
        <v>0</v>
      </c>
      <c r="W165" s="437">
        <f t="shared" si="91"/>
        <v>0</v>
      </c>
      <c r="X165" s="439">
        <f t="shared" si="93"/>
        <v>0</v>
      </c>
      <c r="Y165" s="439">
        <f t="shared" si="94"/>
        <v>0</v>
      </c>
      <c r="Z165" s="439">
        <f t="shared" ref="Z165:Z190" si="111">X165+Y165</f>
        <v>0</v>
      </c>
      <c r="AA165" s="439" t="e">
        <f ca="1">(OFFSET($B$5,SUM($W$6:$W165),)-OFFSET($B$5,(SUM($W$6:$W165)-SUM($W165:$W165)+1),))</f>
        <v>#VALUE!</v>
      </c>
      <c r="AB165" s="439" t="e">
        <f ca="1">(OFFSET($B$5,SUM($W$6:$W165),)-OFFSET($B$5,SUM($W$6:$W165)-1,))+(OFFSET($B$5,SUM($W$6:$W165)-2,)-OFFSET($B$5,SUM($W$6:$W165)-3,))+(OFFSET($B$5,SUM($W$6:$W165)-4,)-OFFSET($B$5,SUM($W$6:$W165)-5,))+(OFFSET($B$5,SUM($W$6:$W165)-6,)-OFFSET($B$5,SUM($W$6:$W165)-7,))+(OFFSET($B$5,SUM($W$6:$W165)-8,)-OFFSET($B$5,SUM($W$6:$W165)-9,))+(OFFSET($B$5,SUM($W$6:$W165)-10,)-OFFSET($B$5,SUM($W$6:$W165)-11,))</f>
        <v>#VALUE!</v>
      </c>
      <c r="AC165" s="439" t="e">
        <f ca="1">(OFFSET($B$5,SUM($W$6:$W165),)-OFFSET($B$5,SUM($W$6:$W165)-1,))+(OFFSET($B$5,SUM($W$6:$W165)-2,)-OFFSET($B$5,SUM($W$6:$W165)-3,))+(OFFSET($B$5,SUM($W$6:$W165)-4,)-OFFSET($B$5,SUM($W$6:$W165)-5,))+(OFFSET($B$5,SUM($W$6:$W165)-6,)-OFFSET($B$5,SUM($W$6:$W165)-7,))+(OFFSET($B$5,SUM($W$6:$W165)-8,)-OFFSET($B$5,SUM($W$6:$W165)-9,))</f>
        <v>#VALUE!</v>
      </c>
      <c r="AD165" s="439" t="e">
        <f ca="1">(OFFSET($B$5,SUM($W$6:$W165),)-OFFSET($B$5,SUM($W$6:$W165)-1,))+(OFFSET($B$5,SUM($W$6:$W165)-2,)-OFFSET($B$5,SUM($W$6:$W165)-3,))+(OFFSET($B$5,SUM($W$6:$W165)-4,)-OFFSET($B$5,SUM($W$6:$W165)-5,))+(OFFSET($B$5,SUM($W$6:$W165)-6,)-OFFSET($B$5,SUM($W$6:$W165)-7,))</f>
        <v>#VALUE!</v>
      </c>
      <c r="AE165" s="439" t="e">
        <f ca="1">(OFFSET($B$5,SUM($W$6:$W165),)-OFFSET($B$5,SUM($W$6:$W165)-1,))+(OFFSET($B$5,SUM($W$6:$W165)-2,)-OFFSET($B$5,SUM($W$6:$W165)-3,))+(OFFSET($B$5,SUM($W$6:$W165)-4,)-OFFSET($B$5,SUM($W$6:$W165)-5,))</f>
        <v>#VALUE!</v>
      </c>
      <c r="AF165" s="439" t="e">
        <f ca="1">(OFFSET($B$5,SUM($W$6:$W165),)-OFFSET($B$5,SUM($W$6:$W165)-1,))+(OFFSET($B$5,SUM($W$6:$W165)-2,)-OFFSET($B$5,SUM($W$6:$W165)-3,))</f>
        <v>#VALUE!</v>
      </c>
      <c r="AG165" s="439" t="e">
        <f ca="1">(OFFSET($B$5,SUM($W$6:$W165),)-OFFSET($B$5,SUM($W$6:$W165)-1,))</f>
        <v>#VALUE!</v>
      </c>
      <c r="AH165" s="439" t="e">
        <f ca="1">(OFFSET($B$5,SUM($W$6:$W165)-1,)-OFFSET($B$5,SUM($W$6:$W165)-2,))+(OFFSET($B$5,SUM($W$6:$W165)-3,)-OFFSET($B$5,SUM($W$6:$W165)-4,))+(OFFSET($B$5,SUM($W$6:$W165)-5,)-OFFSET($B$5,SUM($W$6:$W165)-6,))+(OFFSET($B$5,SUM($W$6:$W165)-7,)-OFFSET($B$5,SUM($W$6:$W165)-8,))+(OFFSET($B$5,SUM($W$6:$W165)-9,)-OFFSET($B$5,SUM($W$6:$W165)-10,))</f>
        <v>#REF!</v>
      </c>
      <c r="AI165" s="439" t="e">
        <f ca="1">(OFFSET($B$5,SUM($W$6:$W165)-1,)-OFFSET($B$5,SUM($W$6:$W165)-2,))+(OFFSET($B$5,SUM($W$6:$W165)-3,)-OFFSET($B$5,SUM($W$6:$W165)-4,))+(OFFSET($B$5,SUM($W$6:$W165)-5,)-OFFSET($B$5,SUM($W$6:$W165)-6,))+(OFFSET($B$5,SUM($W$6:$W165)-7,)-OFFSET($B$5,SUM($W$6:$W165)-8,))</f>
        <v>#REF!</v>
      </c>
      <c r="AJ165" s="439" t="e">
        <f ca="1">(OFFSET($B$5,SUM($W$6:$W165)-1,)-OFFSET($B$5,SUM($W$6:$W165)-2,))+(OFFSET($B$5,SUM($W$6:$W165)-3,)-OFFSET($B$5,SUM($W$6:$W165)-4,))+(OFFSET($B$5,SUM($W$6:$W165)-5,)-OFFSET($B$5,SUM($W$6:$W165)-6,))</f>
        <v>#REF!</v>
      </c>
      <c r="AK165" s="439">
        <f ca="1">(OFFSET($B$5,SUM($W$6:$W165)-1,)-OFFSET($B$5,SUM($W$6:$W165)-2,))+(OFFSET($B$5,SUM($W$6:$W165)-3,)-OFFSET($B$5,SUM($W$6:$W165)-4,))</f>
        <v>0</v>
      </c>
      <c r="AL165" s="439">
        <f ca="1">(OFFSET($B$5,SUM($W$6:$W165)-1,)-OFFSET($B$5,SUM($W$6:$W165)-2,))</f>
        <v>0</v>
      </c>
      <c r="AM165" s="433">
        <v>6.625</v>
      </c>
    </row>
    <row r="166" spans="6:39" x14ac:dyDescent="0.25">
      <c r="F166" s="378">
        <v>44537</v>
      </c>
      <c r="G166" s="370">
        <f t="shared" ref="G166:G190" si="112">F166</f>
        <v>44537</v>
      </c>
      <c r="H166" s="388">
        <f t="shared" ref="H166:H170" si="113">X166</f>
        <v>0</v>
      </c>
      <c r="I166" s="388">
        <f t="shared" ref="I166:I170" ca="1" si="114">IFERROR(H166+T166+OFFSET($L$160,MATCH(F166,$K$161:$K$190,0),0)-$W$2,H166-$W$2)</f>
        <v>-0.33333333333333331</v>
      </c>
      <c r="J166" s="386">
        <f ca="1">I166+J163</f>
        <v>-1.9999999999999998</v>
      </c>
      <c r="K166" s="163"/>
      <c r="L166" s="59"/>
      <c r="T166" s="438">
        <f t="shared" ref="T166:T190" si="115">IF(AND(X166&lt;$V$2,X166&gt;$U$2),U166,IF(X166&gt;$V$2,V166,$U$1))</f>
        <v>0</v>
      </c>
      <c r="U166" s="439" t="b">
        <f t="shared" ref="U166:U190" si="116">IF(AND(X166&lt;$V$2,X166&gt;$U$2),IF(Y166&lt;$V$1,$V$1,$U$1))</f>
        <v>0</v>
      </c>
      <c r="V166" s="440" t="b">
        <f t="shared" ref="V166:V190" si="117">IF(X166&gt;$V$2,IF(Y166&lt;$W$1,$W$1,$U$1))</f>
        <v>0</v>
      </c>
      <c r="W166" s="437">
        <f t="shared" ref="W166:W190" si="118">(COUNTIF($C$6:$C$9999,F166))</f>
        <v>0</v>
      </c>
      <c r="X166" s="439">
        <f t="shared" si="93"/>
        <v>0</v>
      </c>
      <c r="Y166" s="439">
        <f t="shared" si="94"/>
        <v>0</v>
      </c>
      <c r="Z166" s="439">
        <f t="shared" si="111"/>
        <v>0</v>
      </c>
      <c r="AA166" s="439" t="e">
        <f ca="1">(OFFSET($B$5,SUM($W$6:$W166),)-OFFSET($B$5,(SUM($W$6:$W166)-SUM($W166:$W166)+1),))</f>
        <v>#VALUE!</v>
      </c>
      <c r="AB166" s="439" t="e">
        <f ca="1">(OFFSET($B$5,SUM($W$6:$W166),)-OFFSET($B$5,SUM($W$6:$W166)-1,))+(OFFSET($B$5,SUM($W$6:$W166)-2,)-OFFSET($B$5,SUM($W$6:$W166)-3,))+(OFFSET($B$5,SUM($W$6:$W166)-4,)-OFFSET($B$5,SUM($W$6:$W166)-5,))+(OFFSET($B$5,SUM($W$6:$W166)-6,)-OFFSET($B$5,SUM($W$6:$W166)-7,))+(OFFSET($B$5,SUM($W$6:$W166)-8,)-OFFSET($B$5,SUM($W$6:$W166)-9,))+(OFFSET($B$5,SUM($W$6:$W166)-10,)-OFFSET($B$5,SUM($W$6:$W166)-11,))</f>
        <v>#VALUE!</v>
      </c>
      <c r="AC166" s="439" t="e">
        <f ca="1">(OFFSET($B$5,SUM($W$6:$W166),)-OFFSET($B$5,SUM($W$6:$W166)-1,))+(OFFSET($B$5,SUM($W$6:$W166)-2,)-OFFSET($B$5,SUM($W$6:$W166)-3,))+(OFFSET($B$5,SUM($W$6:$W166)-4,)-OFFSET($B$5,SUM($W$6:$W166)-5,))+(OFFSET($B$5,SUM($W$6:$W166)-6,)-OFFSET($B$5,SUM($W$6:$W166)-7,))+(OFFSET($B$5,SUM($W$6:$W166)-8,)-OFFSET($B$5,SUM($W$6:$W166)-9,))</f>
        <v>#VALUE!</v>
      </c>
      <c r="AD166" s="439" t="e">
        <f ca="1">(OFFSET($B$5,SUM($W$6:$W166),)-OFFSET($B$5,SUM($W$6:$W166)-1,))+(OFFSET($B$5,SUM($W$6:$W166)-2,)-OFFSET($B$5,SUM($W$6:$W166)-3,))+(OFFSET($B$5,SUM($W$6:$W166)-4,)-OFFSET($B$5,SUM($W$6:$W166)-5,))+(OFFSET($B$5,SUM($W$6:$W166)-6,)-OFFSET($B$5,SUM($W$6:$W166)-7,))</f>
        <v>#VALUE!</v>
      </c>
      <c r="AE166" s="439" t="e">
        <f ca="1">(OFFSET($B$5,SUM($W$6:$W166),)-OFFSET($B$5,SUM($W$6:$W166)-1,))+(OFFSET($B$5,SUM($W$6:$W166)-2,)-OFFSET($B$5,SUM($W$6:$W166)-3,))+(OFFSET($B$5,SUM($W$6:$W166)-4,)-OFFSET($B$5,SUM($W$6:$W166)-5,))</f>
        <v>#VALUE!</v>
      </c>
      <c r="AF166" s="439" t="e">
        <f ca="1">(OFFSET($B$5,SUM($W$6:$W166),)-OFFSET($B$5,SUM($W$6:$W166)-1,))+(OFFSET($B$5,SUM($W$6:$W166)-2,)-OFFSET($B$5,SUM($W$6:$W166)-3,))</f>
        <v>#VALUE!</v>
      </c>
      <c r="AG166" s="439" t="e">
        <f ca="1">(OFFSET($B$5,SUM($W$6:$W166),)-OFFSET($B$5,SUM($W$6:$W166)-1,))</f>
        <v>#VALUE!</v>
      </c>
      <c r="AH166" s="439" t="e">
        <f ca="1">(OFFSET($B$5,SUM($W$6:$W166)-1,)-OFFSET($B$5,SUM($W$6:$W166)-2,))+(OFFSET($B$5,SUM($W$6:$W166)-3,)-OFFSET($B$5,SUM($W$6:$W166)-4,))+(OFFSET($B$5,SUM($W$6:$W166)-5,)-OFFSET($B$5,SUM($W$6:$W166)-6,))+(OFFSET($B$5,SUM($W$6:$W166)-7,)-OFFSET($B$5,SUM($W$6:$W166)-8,))+(OFFSET($B$5,SUM($W$6:$W166)-9,)-OFFSET($B$5,SUM($W$6:$W166)-10,))</f>
        <v>#REF!</v>
      </c>
      <c r="AI166" s="439" t="e">
        <f ca="1">(OFFSET($B$5,SUM($W$6:$W166)-1,)-OFFSET($B$5,SUM($W$6:$W166)-2,))+(OFFSET($B$5,SUM($W$6:$W166)-3,)-OFFSET($B$5,SUM($W$6:$W166)-4,))+(OFFSET($B$5,SUM($W$6:$W166)-5,)-OFFSET($B$5,SUM($W$6:$W166)-6,))+(OFFSET($B$5,SUM($W$6:$W166)-7,)-OFFSET($B$5,SUM($W$6:$W166)-8,))</f>
        <v>#REF!</v>
      </c>
      <c r="AJ166" s="439" t="e">
        <f ca="1">(OFFSET($B$5,SUM($W$6:$W166)-1,)-OFFSET($B$5,SUM($W$6:$W166)-2,))+(OFFSET($B$5,SUM($W$6:$W166)-3,)-OFFSET($B$5,SUM($W$6:$W166)-4,))+(OFFSET($B$5,SUM($W$6:$W166)-5,)-OFFSET($B$5,SUM($W$6:$W166)-6,))</f>
        <v>#REF!</v>
      </c>
      <c r="AK166" s="439">
        <f ca="1">(OFFSET($B$5,SUM($W$6:$W166)-1,)-OFFSET($B$5,SUM($W$6:$W166)-2,))+(OFFSET($B$5,SUM($W$6:$W166)-3,)-OFFSET($B$5,SUM($W$6:$W166)-4,))</f>
        <v>0</v>
      </c>
      <c r="AL166" s="439">
        <f ca="1">(OFFSET($B$5,SUM($W$6:$W166)-1,)-OFFSET($B$5,SUM($W$6:$W166)-2,))</f>
        <v>0</v>
      </c>
      <c r="AM166" s="433">
        <v>6.6666666666666696</v>
      </c>
    </row>
    <row r="167" spans="6:39" x14ac:dyDescent="0.25">
      <c r="F167" s="378">
        <v>44538</v>
      </c>
      <c r="G167" s="370">
        <f t="shared" si="112"/>
        <v>44538</v>
      </c>
      <c r="H167" s="388">
        <f t="shared" si="113"/>
        <v>0</v>
      </c>
      <c r="I167" s="388">
        <f t="shared" ca="1" si="114"/>
        <v>-0.33333333333333331</v>
      </c>
      <c r="J167" s="386">
        <f ca="1">I167+J166</f>
        <v>-2.333333333333333</v>
      </c>
      <c r="K167" s="163"/>
      <c r="L167" s="59"/>
      <c r="T167" s="438">
        <f t="shared" si="115"/>
        <v>0</v>
      </c>
      <c r="U167" s="439" t="b">
        <f t="shared" si="116"/>
        <v>0</v>
      </c>
      <c r="V167" s="440" t="b">
        <f t="shared" si="117"/>
        <v>0</v>
      </c>
      <c r="W167" s="437">
        <f t="shared" si="118"/>
        <v>0</v>
      </c>
      <c r="X167" s="439">
        <f t="shared" si="93"/>
        <v>0</v>
      </c>
      <c r="Y167" s="439">
        <f t="shared" si="94"/>
        <v>0</v>
      </c>
      <c r="Z167" s="439">
        <f t="shared" si="111"/>
        <v>0</v>
      </c>
      <c r="AA167" s="439" t="e">
        <f ca="1">(OFFSET($B$5,SUM($W$6:$W167),)-OFFSET($B$5,(SUM($W$6:$W167)-SUM($W167:$W167)+1),))</f>
        <v>#VALUE!</v>
      </c>
      <c r="AB167" s="439" t="e">
        <f ca="1">(OFFSET($B$5,SUM($W$6:$W167),)-OFFSET($B$5,SUM($W$6:$W167)-1,))+(OFFSET($B$5,SUM($W$6:$W167)-2,)-OFFSET($B$5,SUM($W$6:$W167)-3,))+(OFFSET($B$5,SUM($W$6:$W167)-4,)-OFFSET($B$5,SUM($W$6:$W167)-5,))+(OFFSET($B$5,SUM($W$6:$W167)-6,)-OFFSET($B$5,SUM($W$6:$W167)-7,))+(OFFSET($B$5,SUM($W$6:$W167)-8,)-OFFSET($B$5,SUM($W$6:$W167)-9,))+(OFFSET($B$5,SUM($W$6:$W167)-10,)-OFFSET($B$5,SUM($W$6:$W167)-11,))</f>
        <v>#VALUE!</v>
      </c>
      <c r="AC167" s="439" t="e">
        <f ca="1">(OFFSET($B$5,SUM($W$6:$W167),)-OFFSET($B$5,SUM($W$6:$W167)-1,))+(OFFSET($B$5,SUM($W$6:$W167)-2,)-OFFSET($B$5,SUM($W$6:$W167)-3,))+(OFFSET($B$5,SUM($W$6:$W167)-4,)-OFFSET($B$5,SUM($W$6:$W167)-5,))+(OFFSET($B$5,SUM($W$6:$W167)-6,)-OFFSET($B$5,SUM($W$6:$W167)-7,))+(OFFSET($B$5,SUM($W$6:$W167)-8,)-OFFSET($B$5,SUM($W$6:$W167)-9,))</f>
        <v>#VALUE!</v>
      </c>
      <c r="AD167" s="439" t="e">
        <f ca="1">(OFFSET($B$5,SUM($W$6:$W167),)-OFFSET($B$5,SUM($W$6:$W167)-1,))+(OFFSET($B$5,SUM($W$6:$W167)-2,)-OFFSET($B$5,SUM($W$6:$W167)-3,))+(OFFSET($B$5,SUM($W$6:$W167)-4,)-OFFSET($B$5,SUM($W$6:$W167)-5,))+(OFFSET($B$5,SUM($W$6:$W167)-6,)-OFFSET($B$5,SUM($W$6:$W167)-7,))</f>
        <v>#VALUE!</v>
      </c>
      <c r="AE167" s="439" t="e">
        <f ca="1">(OFFSET($B$5,SUM($W$6:$W167),)-OFFSET($B$5,SUM($W$6:$W167)-1,))+(OFFSET($B$5,SUM($W$6:$W167)-2,)-OFFSET($B$5,SUM($W$6:$W167)-3,))+(OFFSET($B$5,SUM($W$6:$W167)-4,)-OFFSET($B$5,SUM($W$6:$W167)-5,))</f>
        <v>#VALUE!</v>
      </c>
      <c r="AF167" s="439" t="e">
        <f ca="1">(OFFSET($B$5,SUM($W$6:$W167),)-OFFSET($B$5,SUM($W$6:$W167)-1,))+(OFFSET($B$5,SUM($W$6:$W167)-2,)-OFFSET($B$5,SUM($W$6:$W167)-3,))</f>
        <v>#VALUE!</v>
      </c>
      <c r="AG167" s="439" t="e">
        <f ca="1">(OFFSET($B$5,SUM($W$6:$W167),)-OFFSET($B$5,SUM($W$6:$W167)-1,))</f>
        <v>#VALUE!</v>
      </c>
      <c r="AH167" s="439" t="e">
        <f ca="1">(OFFSET($B$5,SUM($W$6:$W167)-1,)-OFFSET($B$5,SUM($W$6:$W167)-2,))+(OFFSET($B$5,SUM($W$6:$W167)-3,)-OFFSET($B$5,SUM($W$6:$W167)-4,))+(OFFSET($B$5,SUM($W$6:$W167)-5,)-OFFSET($B$5,SUM($W$6:$W167)-6,))+(OFFSET($B$5,SUM($W$6:$W167)-7,)-OFFSET($B$5,SUM($W$6:$W167)-8,))+(OFFSET($B$5,SUM($W$6:$W167)-9,)-OFFSET($B$5,SUM($W$6:$W167)-10,))</f>
        <v>#REF!</v>
      </c>
      <c r="AI167" s="439" t="e">
        <f ca="1">(OFFSET($B$5,SUM($W$6:$W167)-1,)-OFFSET($B$5,SUM($W$6:$W167)-2,))+(OFFSET($B$5,SUM($W$6:$W167)-3,)-OFFSET($B$5,SUM($W$6:$W167)-4,))+(OFFSET($B$5,SUM($W$6:$W167)-5,)-OFFSET($B$5,SUM($W$6:$W167)-6,))+(OFFSET($B$5,SUM($W$6:$W167)-7,)-OFFSET($B$5,SUM($W$6:$W167)-8,))</f>
        <v>#REF!</v>
      </c>
      <c r="AJ167" s="439" t="e">
        <f ca="1">(OFFSET($B$5,SUM($W$6:$W167)-1,)-OFFSET($B$5,SUM($W$6:$W167)-2,))+(OFFSET($B$5,SUM($W$6:$W167)-3,)-OFFSET($B$5,SUM($W$6:$W167)-4,))+(OFFSET($B$5,SUM($W$6:$W167)-5,)-OFFSET($B$5,SUM($W$6:$W167)-6,))</f>
        <v>#REF!</v>
      </c>
      <c r="AK167" s="439">
        <f ca="1">(OFFSET($B$5,SUM($W$6:$W167)-1,)-OFFSET($B$5,SUM($W$6:$W167)-2,))+(OFFSET($B$5,SUM($W$6:$W167)-3,)-OFFSET($B$5,SUM($W$6:$W167)-4,))</f>
        <v>0</v>
      </c>
      <c r="AL167" s="439">
        <f ca="1">(OFFSET($B$5,SUM($W$6:$W167)-1,)-OFFSET($B$5,SUM($W$6:$W167)-2,))</f>
        <v>0</v>
      </c>
      <c r="AM167" s="433">
        <v>6.7083333333333304</v>
      </c>
    </row>
    <row r="168" spans="6:39" x14ac:dyDescent="0.25">
      <c r="F168" s="378">
        <v>44539</v>
      </c>
      <c r="G168" s="370">
        <f t="shared" si="112"/>
        <v>44539</v>
      </c>
      <c r="H168" s="388">
        <f t="shared" si="113"/>
        <v>0</v>
      </c>
      <c r="I168" s="388">
        <f t="shared" ca="1" si="114"/>
        <v>-0.33333333333333331</v>
      </c>
      <c r="J168" s="386">
        <f t="shared" ref="J168:J170" ca="1" si="119">I168+J167</f>
        <v>-2.6666666666666665</v>
      </c>
      <c r="K168" s="163"/>
      <c r="L168" s="59"/>
      <c r="T168" s="438">
        <f t="shared" si="115"/>
        <v>0</v>
      </c>
      <c r="U168" s="439" t="b">
        <f t="shared" si="116"/>
        <v>0</v>
      </c>
      <c r="V168" s="440" t="b">
        <f t="shared" si="117"/>
        <v>0</v>
      </c>
      <c r="W168" s="437">
        <f t="shared" si="118"/>
        <v>0</v>
      </c>
      <c r="X168" s="439">
        <f t="shared" si="93"/>
        <v>0</v>
      </c>
      <c r="Y168" s="439">
        <f t="shared" si="94"/>
        <v>0</v>
      </c>
      <c r="Z168" s="439">
        <f t="shared" si="111"/>
        <v>0</v>
      </c>
      <c r="AA168" s="439" t="e">
        <f ca="1">(OFFSET($B$5,SUM($W$6:$W168),)-OFFSET($B$5,(SUM($W$6:$W168)-SUM($W168:$W168)+1),))</f>
        <v>#VALUE!</v>
      </c>
      <c r="AB168" s="439" t="e">
        <f ca="1">(OFFSET($B$5,SUM($W$6:$W168),)-OFFSET($B$5,SUM($W$6:$W168)-1,))+(OFFSET($B$5,SUM($W$6:$W168)-2,)-OFFSET($B$5,SUM($W$6:$W168)-3,))+(OFFSET($B$5,SUM($W$6:$W168)-4,)-OFFSET($B$5,SUM($W$6:$W168)-5,))+(OFFSET($B$5,SUM($W$6:$W168)-6,)-OFFSET($B$5,SUM($W$6:$W168)-7,))+(OFFSET($B$5,SUM($W$6:$W168)-8,)-OFFSET($B$5,SUM($W$6:$W168)-9,))+(OFFSET($B$5,SUM($W$6:$W168)-10,)-OFFSET($B$5,SUM($W$6:$W168)-11,))</f>
        <v>#VALUE!</v>
      </c>
      <c r="AC168" s="439" t="e">
        <f ca="1">(OFFSET($B$5,SUM($W$6:$W168),)-OFFSET($B$5,SUM($W$6:$W168)-1,))+(OFFSET($B$5,SUM($W$6:$W168)-2,)-OFFSET($B$5,SUM($W$6:$W168)-3,))+(OFFSET($B$5,SUM($W$6:$W168)-4,)-OFFSET($B$5,SUM($W$6:$W168)-5,))+(OFFSET($B$5,SUM($W$6:$W168)-6,)-OFFSET($B$5,SUM($W$6:$W168)-7,))+(OFFSET($B$5,SUM($W$6:$W168)-8,)-OFFSET($B$5,SUM($W$6:$W168)-9,))</f>
        <v>#VALUE!</v>
      </c>
      <c r="AD168" s="439" t="e">
        <f ca="1">(OFFSET($B$5,SUM($W$6:$W168),)-OFFSET($B$5,SUM($W$6:$W168)-1,))+(OFFSET($B$5,SUM($W$6:$W168)-2,)-OFFSET($B$5,SUM($W$6:$W168)-3,))+(OFFSET($B$5,SUM($W$6:$W168)-4,)-OFFSET($B$5,SUM($W$6:$W168)-5,))+(OFFSET($B$5,SUM($W$6:$W168)-6,)-OFFSET($B$5,SUM($W$6:$W168)-7,))</f>
        <v>#VALUE!</v>
      </c>
      <c r="AE168" s="439" t="e">
        <f ca="1">(OFFSET($B$5,SUM($W$6:$W168),)-OFFSET($B$5,SUM($W$6:$W168)-1,))+(OFFSET($B$5,SUM($W$6:$W168)-2,)-OFFSET($B$5,SUM($W$6:$W168)-3,))+(OFFSET($B$5,SUM($W$6:$W168)-4,)-OFFSET($B$5,SUM($W$6:$W168)-5,))</f>
        <v>#VALUE!</v>
      </c>
      <c r="AF168" s="439" t="e">
        <f ca="1">(OFFSET($B$5,SUM($W$6:$W168),)-OFFSET($B$5,SUM($W$6:$W168)-1,))+(OFFSET($B$5,SUM($W$6:$W168)-2,)-OFFSET($B$5,SUM($W$6:$W168)-3,))</f>
        <v>#VALUE!</v>
      </c>
      <c r="AG168" s="439" t="e">
        <f ca="1">(OFFSET($B$5,SUM($W$6:$W168),)-OFFSET($B$5,SUM($W$6:$W168)-1,))</f>
        <v>#VALUE!</v>
      </c>
      <c r="AH168" s="439" t="e">
        <f ca="1">(OFFSET($B$5,SUM($W$6:$W168)-1,)-OFFSET($B$5,SUM($W$6:$W168)-2,))+(OFFSET($B$5,SUM($W$6:$W168)-3,)-OFFSET($B$5,SUM($W$6:$W168)-4,))+(OFFSET($B$5,SUM($W$6:$W168)-5,)-OFFSET($B$5,SUM($W$6:$W168)-6,))+(OFFSET($B$5,SUM($W$6:$W168)-7,)-OFFSET($B$5,SUM($W$6:$W168)-8,))+(OFFSET($B$5,SUM($W$6:$W168)-9,)-OFFSET($B$5,SUM($W$6:$W168)-10,))</f>
        <v>#REF!</v>
      </c>
      <c r="AI168" s="439" t="e">
        <f ca="1">(OFFSET($B$5,SUM($W$6:$W168)-1,)-OFFSET($B$5,SUM($W$6:$W168)-2,))+(OFFSET($B$5,SUM($W$6:$W168)-3,)-OFFSET($B$5,SUM($W$6:$W168)-4,))+(OFFSET($B$5,SUM($W$6:$W168)-5,)-OFFSET($B$5,SUM($W$6:$W168)-6,))+(OFFSET($B$5,SUM($W$6:$W168)-7,)-OFFSET($B$5,SUM($W$6:$W168)-8,))</f>
        <v>#REF!</v>
      </c>
      <c r="AJ168" s="439" t="e">
        <f ca="1">(OFFSET($B$5,SUM($W$6:$W168)-1,)-OFFSET($B$5,SUM($W$6:$W168)-2,))+(OFFSET($B$5,SUM($W$6:$W168)-3,)-OFFSET($B$5,SUM($W$6:$W168)-4,))+(OFFSET($B$5,SUM($W$6:$W168)-5,)-OFFSET($B$5,SUM($W$6:$W168)-6,))</f>
        <v>#REF!</v>
      </c>
      <c r="AK168" s="439">
        <f ca="1">(OFFSET($B$5,SUM($W$6:$W168)-1,)-OFFSET($B$5,SUM($W$6:$W168)-2,))+(OFFSET($B$5,SUM($W$6:$W168)-3,)-OFFSET($B$5,SUM($W$6:$W168)-4,))</f>
        <v>0</v>
      </c>
      <c r="AL168" s="439">
        <f ca="1">(OFFSET($B$5,SUM($W$6:$W168)-1,)-OFFSET($B$5,SUM($W$6:$W168)-2,))</f>
        <v>0</v>
      </c>
      <c r="AM168" s="433">
        <v>6.75</v>
      </c>
    </row>
    <row r="169" spans="6:39" x14ac:dyDescent="0.25">
      <c r="F169" s="378">
        <v>44540</v>
      </c>
      <c r="G169" s="370">
        <f t="shared" si="112"/>
        <v>44540</v>
      </c>
      <c r="H169" s="388">
        <f t="shared" si="113"/>
        <v>0</v>
      </c>
      <c r="I169" s="388">
        <f t="shared" ca="1" si="114"/>
        <v>-0.33333333333333331</v>
      </c>
      <c r="J169" s="386">
        <f t="shared" ca="1" si="119"/>
        <v>-3</v>
      </c>
      <c r="K169" s="163"/>
      <c r="L169" s="59"/>
      <c r="T169" s="438">
        <f t="shared" si="115"/>
        <v>0</v>
      </c>
      <c r="U169" s="439" t="b">
        <f t="shared" si="116"/>
        <v>0</v>
      </c>
      <c r="V169" s="440" t="b">
        <f t="shared" si="117"/>
        <v>0</v>
      </c>
      <c r="W169" s="437">
        <f t="shared" si="118"/>
        <v>0</v>
      </c>
      <c r="X169" s="439">
        <f t="shared" si="93"/>
        <v>0</v>
      </c>
      <c r="Y169" s="439">
        <f t="shared" si="94"/>
        <v>0</v>
      </c>
      <c r="Z169" s="439">
        <f t="shared" si="111"/>
        <v>0</v>
      </c>
      <c r="AA169" s="439" t="e">
        <f ca="1">(OFFSET($B$5,SUM($W$6:$W169),)-OFFSET($B$5,(SUM($W$6:$W169)-SUM($W169:$W169)+1),))</f>
        <v>#VALUE!</v>
      </c>
      <c r="AB169" s="439" t="e">
        <f ca="1">(OFFSET($B$5,SUM($W$6:$W169),)-OFFSET($B$5,SUM($W$6:$W169)-1,))+(OFFSET($B$5,SUM($W$6:$W169)-2,)-OFFSET($B$5,SUM($W$6:$W169)-3,))+(OFFSET($B$5,SUM($W$6:$W169)-4,)-OFFSET($B$5,SUM($W$6:$W169)-5,))+(OFFSET($B$5,SUM($W$6:$W169)-6,)-OFFSET($B$5,SUM($W$6:$W169)-7,))+(OFFSET($B$5,SUM($W$6:$W169)-8,)-OFFSET($B$5,SUM($W$6:$W169)-9,))+(OFFSET($B$5,SUM($W$6:$W169)-10,)-OFFSET($B$5,SUM($W$6:$W169)-11,))</f>
        <v>#VALUE!</v>
      </c>
      <c r="AC169" s="439" t="e">
        <f ca="1">(OFFSET($B$5,SUM($W$6:$W169),)-OFFSET($B$5,SUM($W$6:$W169)-1,))+(OFFSET($B$5,SUM($W$6:$W169)-2,)-OFFSET($B$5,SUM($W$6:$W169)-3,))+(OFFSET($B$5,SUM($W$6:$W169)-4,)-OFFSET($B$5,SUM($W$6:$W169)-5,))+(OFFSET($B$5,SUM($W$6:$W169)-6,)-OFFSET($B$5,SUM($W$6:$W169)-7,))+(OFFSET($B$5,SUM($W$6:$W169)-8,)-OFFSET($B$5,SUM($W$6:$W169)-9,))</f>
        <v>#VALUE!</v>
      </c>
      <c r="AD169" s="439" t="e">
        <f ca="1">(OFFSET($B$5,SUM($W$6:$W169),)-OFFSET($B$5,SUM($W$6:$W169)-1,))+(OFFSET($B$5,SUM($W$6:$W169)-2,)-OFFSET($B$5,SUM($W$6:$W169)-3,))+(OFFSET($B$5,SUM($W$6:$W169)-4,)-OFFSET($B$5,SUM($W$6:$W169)-5,))+(OFFSET($B$5,SUM($W$6:$W169)-6,)-OFFSET($B$5,SUM($W$6:$W169)-7,))</f>
        <v>#VALUE!</v>
      </c>
      <c r="AE169" s="439" t="e">
        <f ca="1">(OFFSET($B$5,SUM($W$6:$W169),)-OFFSET($B$5,SUM($W$6:$W169)-1,))+(OFFSET($B$5,SUM($W$6:$W169)-2,)-OFFSET($B$5,SUM($W$6:$W169)-3,))+(OFFSET($B$5,SUM($W$6:$W169)-4,)-OFFSET($B$5,SUM($W$6:$W169)-5,))</f>
        <v>#VALUE!</v>
      </c>
      <c r="AF169" s="439" t="e">
        <f ca="1">(OFFSET($B$5,SUM($W$6:$W169),)-OFFSET($B$5,SUM($W$6:$W169)-1,))+(OFFSET($B$5,SUM($W$6:$W169)-2,)-OFFSET($B$5,SUM($W$6:$W169)-3,))</f>
        <v>#VALUE!</v>
      </c>
      <c r="AG169" s="439" t="e">
        <f ca="1">(OFFSET($B$5,SUM($W$6:$W169),)-OFFSET($B$5,SUM($W$6:$W169)-1,))</f>
        <v>#VALUE!</v>
      </c>
      <c r="AH169" s="439" t="e">
        <f ca="1">(OFFSET($B$5,SUM($W$6:$W169)-1,)-OFFSET($B$5,SUM($W$6:$W169)-2,))+(OFFSET($B$5,SUM($W$6:$W169)-3,)-OFFSET($B$5,SUM($W$6:$W169)-4,))+(OFFSET($B$5,SUM($W$6:$W169)-5,)-OFFSET($B$5,SUM($W$6:$W169)-6,))+(OFFSET($B$5,SUM($W$6:$W169)-7,)-OFFSET($B$5,SUM($W$6:$W169)-8,))+(OFFSET($B$5,SUM($W$6:$W169)-9,)-OFFSET($B$5,SUM($W$6:$W169)-10,))</f>
        <v>#REF!</v>
      </c>
      <c r="AI169" s="439" t="e">
        <f ca="1">(OFFSET($B$5,SUM($W$6:$W169)-1,)-OFFSET($B$5,SUM($W$6:$W169)-2,))+(OFFSET($B$5,SUM($W$6:$W169)-3,)-OFFSET($B$5,SUM($W$6:$W169)-4,))+(OFFSET($B$5,SUM($W$6:$W169)-5,)-OFFSET($B$5,SUM($W$6:$W169)-6,))+(OFFSET($B$5,SUM($W$6:$W169)-7,)-OFFSET($B$5,SUM($W$6:$W169)-8,))</f>
        <v>#REF!</v>
      </c>
      <c r="AJ169" s="439" t="e">
        <f ca="1">(OFFSET($B$5,SUM($W$6:$W169)-1,)-OFFSET($B$5,SUM($W$6:$W169)-2,))+(OFFSET($B$5,SUM($W$6:$W169)-3,)-OFFSET($B$5,SUM($W$6:$W169)-4,))+(OFFSET($B$5,SUM($W$6:$W169)-5,)-OFFSET($B$5,SUM($W$6:$W169)-6,))</f>
        <v>#REF!</v>
      </c>
      <c r="AK169" s="439">
        <f ca="1">(OFFSET($B$5,SUM($W$6:$W169)-1,)-OFFSET($B$5,SUM($W$6:$W169)-2,))+(OFFSET($B$5,SUM($W$6:$W169)-3,)-OFFSET($B$5,SUM($W$6:$W169)-4,))</f>
        <v>0</v>
      </c>
      <c r="AL169" s="439">
        <f ca="1">(OFFSET($B$5,SUM($W$6:$W169)-1,)-OFFSET($B$5,SUM($W$6:$W169)-2,))</f>
        <v>0</v>
      </c>
      <c r="AM169" s="433">
        <v>6.7916666666666696</v>
      </c>
    </row>
    <row r="170" spans="6:39" x14ac:dyDescent="0.25">
      <c r="F170" s="378">
        <v>44541</v>
      </c>
      <c r="G170" s="370">
        <f t="shared" si="112"/>
        <v>44541</v>
      </c>
      <c r="H170" s="388">
        <f t="shared" si="113"/>
        <v>0</v>
      </c>
      <c r="I170" s="388">
        <f t="shared" ca="1" si="114"/>
        <v>-0.33333333333333331</v>
      </c>
      <c r="J170" s="386">
        <f t="shared" ca="1" si="119"/>
        <v>-3.3333333333333335</v>
      </c>
      <c r="K170" s="163"/>
      <c r="L170" s="59"/>
      <c r="T170" s="438">
        <f t="shared" si="115"/>
        <v>0</v>
      </c>
      <c r="U170" s="439" t="b">
        <f t="shared" si="116"/>
        <v>0</v>
      </c>
      <c r="V170" s="440" t="b">
        <f t="shared" si="117"/>
        <v>0</v>
      </c>
      <c r="W170" s="437">
        <f t="shared" si="118"/>
        <v>0</v>
      </c>
      <c r="X170" s="439">
        <f t="shared" si="93"/>
        <v>0</v>
      </c>
      <c r="Y170" s="439">
        <f t="shared" si="94"/>
        <v>0</v>
      </c>
      <c r="Z170" s="439">
        <f t="shared" si="111"/>
        <v>0</v>
      </c>
      <c r="AA170" s="439" t="e">
        <f ca="1">(OFFSET($B$5,SUM($W$6:$W170),)-OFFSET($B$5,(SUM($W$6:$W170)-SUM($W170:$W170)+1),))</f>
        <v>#VALUE!</v>
      </c>
      <c r="AB170" s="439" t="e">
        <f ca="1">(OFFSET($B$5,SUM($W$6:$W170),)-OFFSET($B$5,SUM($W$6:$W170)-1,))+(OFFSET($B$5,SUM($W$6:$W170)-2,)-OFFSET($B$5,SUM($W$6:$W170)-3,))+(OFFSET($B$5,SUM($W$6:$W170)-4,)-OFFSET($B$5,SUM($W$6:$W170)-5,))+(OFFSET($B$5,SUM($W$6:$W170)-6,)-OFFSET($B$5,SUM($W$6:$W170)-7,))+(OFFSET($B$5,SUM($W$6:$W170)-8,)-OFFSET($B$5,SUM($W$6:$W170)-9,))+(OFFSET($B$5,SUM($W$6:$W170)-10,)-OFFSET($B$5,SUM($W$6:$W170)-11,))</f>
        <v>#VALUE!</v>
      </c>
      <c r="AC170" s="439" t="e">
        <f ca="1">(OFFSET($B$5,SUM($W$6:$W170),)-OFFSET($B$5,SUM($W$6:$W170)-1,))+(OFFSET($B$5,SUM($W$6:$W170)-2,)-OFFSET($B$5,SUM($W$6:$W170)-3,))+(OFFSET($B$5,SUM($W$6:$W170)-4,)-OFFSET($B$5,SUM($W$6:$W170)-5,))+(OFFSET($B$5,SUM($W$6:$W170)-6,)-OFFSET($B$5,SUM($W$6:$W170)-7,))+(OFFSET($B$5,SUM($W$6:$W170)-8,)-OFFSET($B$5,SUM($W$6:$W170)-9,))</f>
        <v>#VALUE!</v>
      </c>
      <c r="AD170" s="439" t="e">
        <f ca="1">(OFFSET($B$5,SUM($W$6:$W170),)-OFFSET($B$5,SUM($W$6:$W170)-1,))+(OFFSET($B$5,SUM($W$6:$W170)-2,)-OFFSET($B$5,SUM($W$6:$W170)-3,))+(OFFSET($B$5,SUM($W$6:$W170)-4,)-OFFSET($B$5,SUM($W$6:$W170)-5,))+(OFFSET($B$5,SUM($W$6:$W170)-6,)-OFFSET($B$5,SUM($W$6:$W170)-7,))</f>
        <v>#VALUE!</v>
      </c>
      <c r="AE170" s="439" t="e">
        <f ca="1">(OFFSET($B$5,SUM($W$6:$W170),)-OFFSET($B$5,SUM($W$6:$W170)-1,))+(OFFSET($B$5,SUM($W$6:$W170)-2,)-OFFSET($B$5,SUM($W$6:$W170)-3,))+(OFFSET($B$5,SUM($W$6:$W170)-4,)-OFFSET($B$5,SUM($W$6:$W170)-5,))</f>
        <v>#VALUE!</v>
      </c>
      <c r="AF170" s="439" t="e">
        <f ca="1">(OFFSET($B$5,SUM($W$6:$W170),)-OFFSET($B$5,SUM($W$6:$W170)-1,))+(OFFSET($B$5,SUM($W$6:$W170)-2,)-OFFSET($B$5,SUM($W$6:$W170)-3,))</f>
        <v>#VALUE!</v>
      </c>
      <c r="AG170" s="439" t="e">
        <f ca="1">(OFFSET($B$5,SUM($W$6:$W170),)-OFFSET($B$5,SUM($W$6:$W170)-1,))</f>
        <v>#VALUE!</v>
      </c>
      <c r="AH170" s="439" t="e">
        <f ca="1">(OFFSET($B$5,SUM($W$6:$W170)-1,)-OFFSET($B$5,SUM($W$6:$W170)-2,))+(OFFSET($B$5,SUM($W$6:$W170)-3,)-OFFSET($B$5,SUM($W$6:$W170)-4,))+(OFFSET($B$5,SUM($W$6:$W170)-5,)-OFFSET($B$5,SUM($W$6:$W170)-6,))+(OFFSET($B$5,SUM($W$6:$W170)-7,)-OFFSET($B$5,SUM($W$6:$W170)-8,))+(OFFSET($B$5,SUM($W$6:$W170)-9,)-OFFSET($B$5,SUM($W$6:$W170)-10,))</f>
        <v>#REF!</v>
      </c>
      <c r="AI170" s="439" t="e">
        <f ca="1">(OFFSET($B$5,SUM($W$6:$W170)-1,)-OFFSET($B$5,SUM($W$6:$W170)-2,))+(OFFSET($B$5,SUM($W$6:$W170)-3,)-OFFSET($B$5,SUM($W$6:$W170)-4,))+(OFFSET($B$5,SUM($W$6:$W170)-5,)-OFFSET($B$5,SUM($W$6:$W170)-6,))+(OFFSET($B$5,SUM($W$6:$W170)-7,)-OFFSET($B$5,SUM($W$6:$W170)-8,))</f>
        <v>#REF!</v>
      </c>
      <c r="AJ170" s="439" t="e">
        <f ca="1">(OFFSET($B$5,SUM($W$6:$W170)-1,)-OFFSET($B$5,SUM($W$6:$W170)-2,))+(OFFSET($B$5,SUM($W$6:$W170)-3,)-OFFSET($B$5,SUM($W$6:$W170)-4,))+(OFFSET($B$5,SUM($W$6:$W170)-5,)-OFFSET($B$5,SUM($W$6:$W170)-6,))</f>
        <v>#REF!</v>
      </c>
      <c r="AK170" s="439">
        <f ca="1">(OFFSET($B$5,SUM($W$6:$W170)-1,)-OFFSET($B$5,SUM($W$6:$W170)-2,))+(OFFSET($B$5,SUM($W$6:$W170)-3,)-OFFSET($B$5,SUM($W$6:$W170)-4,))</f>
        <v>0</v>
      </c>
      <c r="AL170" s="439">
        <f ca="1">(OFFSET($B$5,SUM($W$6:$W170)-1,)-OFFSET($B$5,SUM($W$6:$W170)-2,))</f>
        <v>0</v>
      </c>
      <c r="AM170" s="433">
        <v>6.8333333333333304</v>
      </c>
    </row>
    <row r="171" spans="6:39" x14ac:dyDescent="0.25">
      <c r="F171" s="378">
        <v>44542</v>
      </c>
      <c r="G171" s="404">
        <f t="shared" si="112"/>
        <v>44542</v>
      </c>
      <c r="H171" s="389"/>
      <c r="I171" s="389"/>
      <c r="J171" s="389"/>
      <c r="K171" s="164"/>
      <c r="L171" s="60"/>
      <c r="T171" s="438">
        <f t="shared" si="115"/>
        <v>0</v>
      </c>
      <c r="U171" s="439" t="b">
        <f t="shared" si="116"/>
        <v>0</v>
      </c>
      <c r="V171" s="440" t="b">
        <f t="shared" si="117"/>
        <v>0</v>
      </c>
      <c r="W171" s="437">
        <f t="shared" si="118"/>
        <v>0</v>
      </c>
      <c r="X171" s="439">
        <f t="shared" si="93"/>
        <v>0</v>
      </c>
      <c r="Y171" s="439">
        <f t="shared" si="94"/>
        <v>0</v>
      </c>
      <c r="Z171" s="439">
        <f t="shared" si="111"/>
        <v>0</v>
      </c>
      <c r="AA171" s="439" t="e">
        <f ca="1">(OFFSET($B$5,SUM($W$6:$W171),)-OFFSET($B$5,(SUM($W$6:$W171)-SUM($W171:$W171)+1),))</f>
        <v>#VALUE!</v>
      </c>
      <c r="AB171" s="439" t="e">
        <f ca="1">(OFFSET($B$5,SUM($W$6:$W171),)-OFFSET($B$5,SUM($W$6:$W171)-1,))+(OFFSET($B$5,SUM($W$6:$W171)-2,)-OFFSET($B$5,SUM($W$6:$W171)-3,))+(OFFSET($B$5,SUM($W$6:$W171)-4,)-OFFSET($B$5,SUM($W$6:$W171)-5,))+(OFFSET($B$5,SUM($W$6:$W171)-6,)-OFFSET($B$5,SUM($W$6:$W171)-7,))+(OFFSET($B$5,SUM($W$6:$W171)-8,)-OFFSET($B$5,SUM($W$6:$W171)-9,))+(OFFSET($B$5,SUM($W$6:$W171)-10,)-OFFSET($B$5,SUM($W$6:$W171)-11,))</f>
        <v>#VALUE!</v>
      </c>
      <c r="AC171" s="439" t="e">
        <f ca="1">(OFFSET($B$5,SUM($W$6:$W171),)-OFFSET($B$5,SUM($W$6:$W171)-1,))+(OFFSET($B$5,SUM($W$6:$W171)-2,)-OFFSET($B$5,SUM($W$6:$W171)-3,))+(OFFSET($B$5,SUM($W$6:$W171)-4,)-OFFSET($B$5,SUM($W$6:$W171)-5,))+(OFFSET($B$5,SUM($W$6:$W171)-6,)-OFFSET($B$5,SUM($W$6:$W171)-7,))+(OFFSET($B$5,SUM($W$6:$W171)-8,)-OFFSET($B$5,SUM($W$6:$W171)-9,))</f>
        <v>#VALUE!</v>
      </c>
      <c r="AD171" s="439" t="e">
        <f ca="1">(OFFSET($B$5,SUM($W$6:$W171),)-OFFSET($B$5,SUM($W$6:$W171)-1,))+(OFFSET($B$5,SUM($W$6:$W171)-2,)-OFFSET($B$5,SUM($W$6:$W171)-3,))+(OFFSET($B$5,SUM($W$6:$W171)-4,)-OFFSET($B$5,SUM($W$6:$W171)-5,))+(OFFSET($B$5,SUM($W$6:$W171)-6,)-OFFSET($B$5,SUM($W$6:$W171)-7,))</f>
        <v>#VALUE!</v>
      </c>
      <c r="AE171" s="439" t="e">
        <f ca="1">(OFFSET($B$5,SUM($W$6:$W171),)-OFFSET($B$5,SUM($W$6:$W171)-1,))+(OFFSET($B$5,SUM($W$6:$W171)-2,)-OFFSET($B$5,SUM($W$6:$W171)-3,))+(OFFSET($B$5,SUM($W$6:$W171)-4,)-OFFSET($B$5,SUM($W$6:$W171)-5,))</f>
        <v>#VALUE!</v>
      </c>
      <c r="AF171" s="439" t="e">
        <f ca="1">(OFFSET($B$5,SUM($W$6:$W171),)-OFFSET($B$5,SUM($W$6:$W171)-1,))+(OFFSET($B$5,SUM($W$6:$W171)-2,)-OFFSET($B$5,SUM($W$6:$W171)-3,))</f>
        <v>#VALUE!</v>
      </c>
      <c r="AG171" s="439" t="e">
        <f ca="1">(OFFSET($B$5,SUM($W$6:$W171),)-OFFSET($B$5,SUM($W$6:$W171)-1,))</f>
        <v>#VALUE!</v>
      </c>
      <c r="AH171" s="439" t="e">
        <f ca="1">(OFFSET($B$5,SUM($W$6:$W171)-1,)-OFFSET($B$5,SUM($W$6:$W171)-2,))+(OFFSET($B$5,SUM($W$6:$W171)-3,)-OFFSET($B$5,SUM($W$6:$W171)-4,))+(OFFSET($B$5,SUM($W$6:$W171)-5,)-OFFSET($B$5,SUM($W$6:$W171)-6,))+(OFFSET($B$5,SUM($W$6:$W171)-7,)-OFFSET($B$5,SUM($W$6:$W171)-8,))+(OFFSET($B$5,SUM($W$6:$W171)-9,)-OFFSET($B$5,SUM($W$6:$W171)-10,))</f>
        <v>#REF!</v>
      </c>
      <c r="AI171" s="439" t="e">
        <f ca="1">(OFFSET($B$5,SUM($W$6:$W171)-1,)-OFFSET($B$5,SUM($W$6:$W171)-2,))+(OFFSET($B$5,SUM($W$6:$W171)-3,)-OFFSET($B$5,SUM($W$6:$W171)-4,))+(OFFSET($B$5,SUM($W$6:$W171)-5,)-OFFSET($B$5,SUM($W$6:$W171)-6,))+(OFFSET($B$5,SUM($W$6:$W171)-7,)-OFFSET($B$5,SUM($W$6:$W171)-8,))</f>
        <v>#REF!</v>
      </c>
      <c r="AJ171" s="439" t="e">
        <f ca="1">(OFFSET($B$5,SUM($W$6:$W171)-1,)-OFFSET($B$5,SUM($W$6:$W171)-2,))+(OFFSET($B$5,SUM($W$6:$W171)-3,)-OFFSET($B$5,SUM($W$6:$W171)-4,))+(OFFSET($B$5,SUM($W$6:$W171)-5,)-OFFSET($B$5,SUM($W$6:$W171)-6,))</f>
        <v>#REF!</v>
      </c>
      <c r="AK171" s="439">
        <f ca="1">(OFFSET($B$5,SUM($W$6:$W171)-1,)-OFFSET($B$5,SUM($W$6:$W171)-2,))+(OFFSET($B$5,SUM($W$6:$W171)-3,)-OFFSET($B$5,SUM($W$6:$W171)-4,))</f>
        <v>0</v>
      </c>
      <c r="AL171" s="439">
        <f ca="1">(OFFSET($B$5,SUM($W$6:$W171)-1,)-OFFSET($B$5,SUM($W$6:$W171)-2,))</f>
        <v>0</v>
      </c>
      <c r="AM171" s="433">
        <v>6.875</v>
      </c>
    </row>
    <row r="172" spans="6:39" x14ac:dyDescent="0.25">
      <c r="F172" s="378">
        <v>44543</v>
      </c>
      <c r="G172" s="404">
        <f t="shared" si="112"/>
        <v>44543</v>
      </c>
      <c r="H172" s="389"/>
      <c r="I172" s="389"/>
      <c r="J172" s="389"/>
      <c r="K172" s="164"/>
      <c r="L172" s="60"/>
      <c r="T172" s="438">
        <f t="shared" si="115"/>
        <v>0</v>
      </c>
      <c r="U172" s="439" t="b">
        <f t="shared" si="116"/>
        <v>0</v>
      </c>
      <c r="V172" s="440" t="b">
        <f t="shared" si="117"/>
        <v>0</v>
      </c>
      <c r="W172" s="437">
        <f t="shared" si="118"/>
        <v>0</v>
      </c>
      <c r="X172" s="439">
        <f t="shared" si="93"/>
        <v>0</v>
      </c>
      <c r="Y172" s="439">
        <f t="shared" si="94"/>
        <v>0</v>
      </c>
      <c r="Z172" s="439">
        <f t="shared" si="111"/>
        <v>0</v>
      </c>
      <c r="AA172" s="439" t="e">
        <f ca="1">(OFFSET($B$5,SUM($W$6:$W172),)-OFFSET($B$5,(SUM($W$6:$W172)-SUM($W172:$W172)+1),))</f>
        <v>#VALUE!</v>
      </c>
      <c r="AB172" s="439" t="e">
        <f ca="1">(OFFSET($B$5,SUM($W$6:$W172),)-OFFSET($B$5,SUM($W$6:$W172)-1,))+(OFFSET($B$5,SUM($W$6:$W172)-2,)-OFFSET($B$5,SUM($W$6:$W172)-3,))+(OFFSET($B$5,SUM($W$6:$W172)-4,)-OFFSET($B$5,SUM($W$6:$W172)-5,))+(OFFSET($B$5,SUM($W$6:$W172)-6,)-OFFSET($B$5,SUM($W$6:$W172)-7,))+(OFFSET($B$5,SUM($W$6:$W172)-8,)-OFFSET($B$5,SUM($W$6:$W172)-9,))+(OFFSET($B$5,SUM($W$6:$W172)-10,)-OFFSET($B$5,SUM($W$6:$W172)-11,))</f>
        <v>#VALUE!</v>
      </c>
      <c r="AC172" s="439" t="e">
        <f ca="1">(OFFSET($B$5,SUM($W$6:$W172),)-OFFSET($B$5,SUM($W$6:$W172)-1,))+(OFFSET($B$5,SUM($W$6:$W172)-2,)-OFFSET($B$5,SUM($W$6:$W172)-3,))+(OFFSET($B$5,SUM($W$6:$W172)-4,)-OFFSET($B$5,SUM($W$6:$W172)-5,))+(OFFSET($B$5,SUM($W$6:$W172)-6,)-OFFSET($B$5,SUM($W$6:$W172)-7,))+(OFFSET($B$5,SUM($W$6:$W172)-8,)-OFFSET($B$5,SUM($W$6:$W172)-9,))</f>
        <v>#VALUE!</v>
      </c>
      <c r="AD172" s="439" t="e">
        <f ca="1">(OFFSET($B$5,SUM($W$6:$W172),)-OFFSET($B$5,SUM($W$6:$W172)-1,))+(OFFSET($B$5,SUM($W$6:$W172)-2,)-OFFSET($B$5,SUM($W$6:$W172)-3,))+(OFFSET($B$5,SUM($W$6:$W172)-4,)-OFFSET($B$5,SUM($W$6:$W172)-5,))+(OFFSET($B$5,SUM($W$6:$W172)-6,)-OFFSET($B$5,SUM($W$6:$W172)-7,))</f>
        <v>#VALUE!</v>
      </c>
      <c r="AE172" s="439" t="e">
        <f ca="1">(OFFSET($B$5,SUM($W$6:$W172),)-OFFSET($B$5,SUM($W$6:$W172)-1,))+(OFFSET($B$5,SUM($W$6:$W172)-2,)-OFFSET($B$5,SUM($W$6:$W172)-3,))+(OFFSET($B$5,SUM($W$6:$W172)-4,)-OFFSET($B$5,SUM($W$6:$W172)-5,))</f>
        <v>#VALUE!</v>
      </c>
      <c r="AF172" s="439" t="e">
        <f ca="1">(OFFSET($B$5,SUM($W$6:$W172),)-OFFSET($B$5,SUM($W$6:$W172)-1,))+(OFFSET($B$5,SUM($W$6:$W172)-2,)-OFFSET($B$5,SUM($W$6:$W172)-3,))</f>
        <v>#VALUE!</v>
      </c>
      <c r="AG172" s="439" t="e">
        <f ca="1">(OFFSET($B$5,SUM($W$6:$W172),)-OFFSET($B$5,SUM($W$6:$W172)-1,))</f>
        <v>#VALUE!</v>
      </c>
      <c r="AH172" s="439" t="e">
        <f ca="1">(OFFSET($B$5,SUM($W$6:$W172)-1,)-OFFSET($B$5,SUM($W$6:$W172)-2,))+(OFFSET($B$5,SUM($W$6:$W172)-3,)-OFFSET($B$5,SUM($W$6:$W172)-4,))+(OFFSET($B$5,SUM($W$6:$W172)-5,)-OFFSET($B$5,SUM($W$6:$W172)-6,))+(OFFSET($B$5,SUM($W$6:$W172)-7,)-OFFSET($B$5,SUM($W$6:$W172)-8,))+(OFFSET($B$5,SUM($W$6:$W172)-9,)-OFFSET($B$5,SUM($W$6:$W172)-10,))</f>
        <v>#REF!</v>
      </c>
      <c r="AI172" s="439" t="e">
        <f ca="1">(OFFSET($B$5,SUM($W$6:$W172)-1,)-OFFSET($B$5,SUM($W$6:$W172)-2,))+(OFFSET($B$5,SUM($W$6:$W172)-3,)-OFFSET($B$5,SUM($W$6:$W172)-4,))+(OFFSET($B$5,SUM($W$6:$W172)-5,)-OFFSET($B$5,SUM($W$6:$W172)-6,))+(OFFSET($B$5,SUM($W$6:$W172)-7,)-OFFSET($B$5,SUM($W$6:$W172)-8,))</f>
        <v>#REF!</v>
      </c>
      <c r="AJ172" s="439" t="e">
        <f ca="1">(OFFSET($B$5,SUM($W$6:$W172)-1,)-OFFSET($B$5,SUM($W$6:$W172)-2,))+(OFFSET($B$5,SUM($W$6:$W172)-3,)-OFFSET($B$5,SUM($W$6:$W172)-4,))+(OFFSET($B$5,SUM($W$6:$W172)-5,)-OFFSET($B$5,SUM($W$6:$W172)-6,))</f>
        <v>#REF!</v>
      </c>
      <c r="AK172" s="439">
        <f ca="1">(OFFSET($B$5,SUM($W$6:$W172)-1,)-OFFSET($B$5,SUM($W$6:$W172)-2,))+(OFFSET($B$5,SUM($W$6:$W172)-3,)-OFFSET($B$5,SUM($W$6:$W172)-4,))</f>
        <v>0</v>
      </c>
      <c r="AL172" s="439">
        <f ca="1">(OFFSET($B$5,SUM($W$6:$W172)-1,)-OFFSET($B$5,SUM($W$6:$W172)-2,))</f>
        <v>0</v>
      </c>
      <c r="AM172" s="433">
        <v>6.9166666666666696</v>
      </c>
    </row>
    <row r="173" spans="6:39" x14ac:dyDescent="0.25">
      <c r="F173" s="378">
        <v>44544</v>
      </c>
      <c r="G173" s="370">
        <f t="shared" si="112"/>
        <v>44544</v>
      </c>
      <c r="H173" s="388">
        <f t="shared" ref="H173:H177" si="120">X173</f>
        <v>0</v>
      </c>
      <c r="I173" s="388">
        <f t="shared" ref="I173:I177" ca="1" si="121">IFERROR(H173+T173+OFFSET($L$160,MATCH(F173,$K$161:$K$190,0),0)-$W$2,H173-$W$2)</f>
        <v>-0.33333333333333331</v>
      </c>
      <c r="J173" s="386">
        <f ca="1">I173+J170</f>
        <v>-3.666666666666667</v>
      </c>
      <c r="K173" s="164"/>
      <c r="L173" s="61"/>
      <c r="T173" s="438">
        <f t="shared" si="115"/>
        <v>0</v>
      </c>
      <c r="U173" s="439" t="b">
        <f t="shared" si="116"/>
        <v>0</v>
      </c>
      <c r="V173" s="440" t="b">
        <f t="shared" si="117"/>
        <v>0</v>
      </c>
      <c r="W173" s="437">
        <f t="shared" si="118"/>
        <v>0</v>
      </c>
      <c r="X173" s="439">
        <f t="shared" si="93"/>
        <v>0</v>
      </c>
      <c r="Y173" s="439">
        <f t="shared" si="94"/>
        <v>0</v>
      </c>
      <c r="Z173" s="439">
        <f t="shared" si="111"/>
        <v>0</v>
      </c>
      <c r="AA173" s="439" t="e">
        <f ca="1">(OFFSET($B$5,SUM($W$6:$W173),)-OFFSET($B$5,(SUM($W$6:$W173)-SUM($W173:$W173)+1),))</f>
        <v>#VALUE!</v>
      </c>
      <c r="AB173" s="439" t="e">
        <f ca="1">(OFFSET($B$5,SUM($W$6:$W173),)-OFFSET($B$5,SUM($W$6:$W173)-1,))+(OFFSET($B$5,SUM($W$6:$W173)-2,)-OFFSET($B$5,SUM($W$6:$W173)-3,))+(OFFSET($B$5,SUM($W$6:$W173)-4,)-OFFSET($B$5,SUM($W$6:$W173)-5,))+(OFFSET($B$5,SUM($W$6:$W173)-6,)-OFFSET($B$5,SUM($W$6:$W173)-7,))+(OFFSET($B$5,SUM($W$6:$W173)-8,)-OFFSET($B$5,SUM($W$6:$W173)-9,))+(OFFSET($B$5,SUM($W$6:$W173)-10,)-OFFSET($B$5,SUM($W$6:$W173)-11,))</f>
        <v>#VALUE!</v>
      </c>
      <c r="AC173" s="439" t="e">
        <f ca="1">(OFFSET($B$5,SUM($W$6:$W173),)-OFFSET($B$5,SUM($W$6:$W173)-1,))+(OFFSET($B$5,SUM($W$6:$W173)-2,)-OFFSET($B$5,SUM($W$6:$W173)-3,))+(OFFSET($B$5,SUM($W$6:$W173)-4,)-OFFSET($B$5,SUM($W$6:$W173)-5,))+(OFFSET($B$5,SUM($W$6:$W173)-6,)-OFFSET($B$5,SUM($W$6:$W173)-7,))+(OFFSET($B$5,SUM($W$6:$W173)-8,)-OFFSET($B$5,SUM($W$6:$W173)-9,))</f>
        <v>#VALUE!</v>
      </c>
      <c r="AD173" s="439" t="e">
        <f ca="1">(OFFSET($B$5,SUM($W$6:$W173),)-OFFSET($B$5,SUM($W$6:$W173)-1,))+(OFFSET($B$5,SUM($W$6:$W173)-2,)-OFFSET($B$5,SUM($W$6:$W173)-3,))+(OFFSET($B$5,SUM($W$6:$W173)-4,)-OFFSET($B$5,SUM($W$6:$W173)-5,))+(OFFSET($B$5,SUM($W$6:$W173)-6,)-OFFSET($B$5,SUM($W$6:$W173)-7,))</f>
        <v>#VALUE!</v>
      </c>
      <c r="AE173" s="439" t="e">
        <f ca="1">(OFFSET($B$5,SUM($W$6:$W173),)-OFFSET($B$5,SUM($W$6:$W173)-1,))+(OFFSET($B$5,SUM($W$6:$W173)-2,)-OFFSET($B$5,SUM($W$6:$W173)-3,))+(OFFSET($B$5,SUM($W$6:$W173)-4,)-OFFSET($B$5,SUM($W$6:$W173)-5,))</f>
        <v>#VALUE!</v>
      </c>
      <c r="AF173" s="439" t="e">
        <f ca="1">(OFFSET($B$5,SUM($W$6:$W173),)-OFFSET($B$5,SUM($W$6:$W173)-1,))+(OFFSET($B$5,SUM($W$6:$W173)-2,)-OFFSET($B$5,SUM($W$6:$W173)-3,))</f>
        <v>#VALUE!</v>
      </c>
      <c r="AG173" s="439" t="e">
        <f ca="1">(OFFSET($B$5,SUM($W$6:$W173),)-OFFSET($B$5,SUM($W$6:$W173)-1,))</f>
        <v>#VALUE!</v>
      </c>
      <c r="AH173" s="439" t="e">
        <f ca="1">(OFFSET($B$5,SUM($W$6:$W173)-1,)-OFFSET($B$5,SUM($W$6:$W173)-2,))+(OFFSET($B$5,SUM($W$6:$W173)-3,)-OFFSET($B$5,SUM($W$6:$W173)-4,))+(OFFSET($B$5,SUM($W$6:$W173)-5,)-OFFSET($B$5,SUM($W$6:$W173)-6,))+(OFFSET($B$5,SUM($W$6:$W173)-7,)-OFFSET($B$5,SUM($W$6:$W173)-8,))+(OFFSET($B$5,SUM($W$6:$W173)-9,)-OFFSET($B$5,SUM($W$6:$W173)-10,))</f>
        <v>#REF!</v>
      </c>
      <c r="AI173" s="439" t="e">
        <f ca="1">(OFFSET($B$5,SUM($W$6:$W173)-1,)-OFFSET($B$5,SUM($W$6:$W173)-2,))+(OFFSET($B$5,SUM($W$6:$W173)-3,)-OFFSET($B$5,SUM($W$6:$W173)-4,))+(OFFSET($B$5,SUM($W$6:$W173)-5,)-OFFSET($B$5,SUM($W$6:$W173)-6,))+(OFFSET($B$5,SUM($W$6:$W173)-7,)-OFFSET($B$5,SUM($W$6:$W173)-8,))</f>
        <v>#REF!</v>
      </c>
      <c r="AJ173" s="439" t="e">
        <f ca="1">(OFFSET($B$5,SUM($W$6:$W173)-1,)-OFFSET($B$5,SUM($W$6:$W173)-2,))+(OFFSET($B$5,SUM($W$6:$W173)-3,)-OFFSET($B$5,SUM($W$6:$W173)-4,))+(OFFSET($B$5,SUM($W$6:$W173)-5,)-OFFSET($B$5,SUM($W$6:$W173)-6,))</f>
        <v>#REF!</v>
      </c>
      <c r="AK173" s="439">
        <f ca="1">(OFFSET($B$5,SUM($W$6:$W173)-1,)-OFFSET($B$5,SUM($W$6:$W173)-2,))+(OFFSET($B$5,SUM($W$6:$W173)-3,)-OFFSET($B$5,SUM($W$6:$W173)-4,))</f>
        <v>0</v>
      </c>
      <c r="AL173" s="439">
        <f ca="1">(OFFSET($B$5,SUM($W$6:$W173)-1,)-OFFSET($B$5,SUM($W$6:$W173)-2,))</f>
        <v>0</v>
      </c>
      <c r="AM173" s="433">
        <v>6.9583333333333304</v>
      </c>
    </row>
    <row r="174" spans="6:39" x14ac:dyDescent="0.25">
      <c r="F174" s="378">
        <v>44545</v>
      </c>
      <c r="G174" s="370">
        <f t="shared" si="112"/>
        <v>44545</v>
      </c>
      <c r="H174" s="388">
        <f t="shared" si="120"/>
        <v>0</v>
      </c>
      <c r="I174" s="388">
        <f t="shared" ca="1" si="121"/>
        <v>-0.33333333333333331</v>
      </c>
      <c r="J174" s="386">
        <f ca="1">I174+J173</f>
        <v>-4</v>
      </c>
      <c r="K174" s="164"/>
      <c r="L174" s="60"/>
      <c r="T174" s="438">
        <f t="shared" si="115"/>
        <v>0</v>
      </c>
      <c r="U174" s="439" t="b">
        <f t="shared" si="116"/>
        <v>0</v>
      </c>
      <c r="V174" s="440" t="b">
        <f t="shared" si="117"/>
        <v>0</v>
      </c>
      <c r="W174" s="437">
        <f t="shared" si="118"/>
        <v>0</v>
      </c>
      <c r="X174" s="439">
        <f t="shared" si="93"/>
        <v>0</v>
      </c>
      <c r="Y174" s="439">
        <f t="shared" si="94"/>
        <v>0</v>
      </c>
      <c r="Z174" s="439">
        <f t="shared" si="111"/>
        <v>0</v>
      </c>
      <c r="AA174" s="439" t="e">
        <f ca="1">(OFFSET($B$5,SUM($W$6:$W174),)-OFFSET($B$5,(SUM($W$6:$W174)-SUM($W174:$W174)+1),))</f>
        <v>#VALUE!</v>
      </c>
      <c r="AB174" s="439" t="e">
        <f ca="1">(OFFSET($B$5,SUM($W$6:$W174),)-OFFSET($B$5,SUM($W$6:$W174)-1,))+(OFFSET($B$5,SUM($W$6:$W174)-2,)-OFFSET($B$5,SUM($W$6:$W174)-3,))+(OFFSET($B$5,SUM($W$6:$W174)-4,)-OFFSET($B$5,SUM($W$6:$W174)-5,))+(OFFSET($B$5,SUM($W$6:$W174)-6,)-OFFSET($B$5,SUM($W$6:$W174)-7,))+(OFFSET($B$5,SUM($W$6:$W174)-8,)-OFFSET($B$5,SUM($W$6:$W174)-9,))+(OFFSET($B$5,SUM($W$6:$W174)-10,)-OFFSET($B$5,SUM($W$6:$W174)-11,))</f>
        <v>#VALUE!</v>
      </c>
      <c r="AC174" s="439" t="e">
        <f ca="1">(OFFSET($B$5,SUM($W$6:$W174),)-OFFSET($B$5,SUM($W$6:$W174)-1,))+(OFFSET($B$5,SUM($W$6:$W174)-2,)-OFFSET($B$5,SUM($W$6:$W174)-3,))+(OFFSET($B$5,SUM($W$6:$W174)-4,)-OFFSET($B$5,SUM($W$6:$W174)-5,))+(OFFSET($B$5,SUM($W$6:$W174)-6,)-OFFSET($B$5,SUM($W$6:$W174)-7,))+(OFFSET($B$5,SUM($W$6:$W174)-8,)-OFFSET($B$5,SUM($W$6:$W174)-9,))</f>
        <v>#VALUE!</v>
      </c>
      <c r="AD174" s="439" t="e">
        <f ca="1">(OFFSET($B$5,SUM($W$6:$W174),)-OFFSET($B$5,SUM($W$6:$W174)-1,))+(OFFSET($B$5,SUM($W$6:$W174)-2,)-OFFSET($B$5,SUM($W$6:$W174)-3,))+(OFFSET($B$5,SUM($W$6:$W174)-4,)-OFFSET($B$5,SUM($W$6:$W174)-5,))+(OFFSET($B$5,SUM($W$6:$W174)-6,)-OFFSET($B$5,SUM($W$6:$W174)-7,))</f>
        <v>#VALUE!</v>
      </c>
      <c r="AE174" s="439" t="e">
        <f ca="1">(OFFSET($B$5,SUM($W$6:$W174),)-OFFSET($B$5,SUM($W$6:$W174)-1,))+(OFFSET($B$5,SUM($W$6:$W174)-2,)-OFFSET($B$5,SUM($W$6:$W174)-3,))+(OFFSET($B$5,SUM($W$6:$W174)-4,)-OFFSET($B$5,SUM($W$6:$W174)-5,))</f>
        <v>#VALUE!</v>
      </c>
      <c r="AF174" s="439" t="e">
        <f ca="1">(OFFSET($B$5,SUM($W$6:$W174),)-OFFSET($B$5,SUM($W$6:$W174)-1,))+(OFFSET($B$5,SUM($W$6:$W174)-2,)-OFFSET($B$5,SUM($W$6:$W174)-3,))</f>
        <v>#VALUE!</v>
      </c>
      <c r="AG174" s="439" t="e">
        <f ca="1">(OFFSET($B$5,SUM($W$6:$W174),)-OFFSET($B$5,SUM($W$6:$W174)-1,))</f>
        <v>#VALUE!</v>
      </c>
      <c r="AH174" s="439" t="e">
        <f ca="1">(OFFSET($B$5,SUM($W$6:$W174)-1,)-OFFSET($B$5,SUM($W$6:$W174)-2,))+(OFFSET($B$5,SUM($W$6:$W174)-3,)-OFFSET($B$5,SUM($W$6:$W174)-4,))+(OFFSET($B$5,SUM($W$6:$W174)-5,)-OFFSET($B$5,SUM($W$6:$W174)-6,))+(OFFSET($B$5,SUM($W$6:$W174)-7,)-OFFSET($B$5,SUM($W$6:$W174)-8,))+(OFFSET($B$5,SUM($W$6:$W174)-9,)-OFFSET($B$5,SUM($W$6:$W174)-10,))</f>
        <v>#REF!</v>
      </c>
      <c r="AI174" s="439" t="e">
        <f ca="1">(OFFSET($B$5,SUM($W$6:$W174)-1,)-OFFSET($B$5,SUM($W$6:$W174)-2,))+(OFFSET($B$5,SUM($W$6:$W174)-3,)-OFFSET($B$5,SUM($W$6:$W174)-4,))+(OFFSET($B$5,SUM($W$6:$W174)-5,)-OFFSET($B$5,SUM($W$6:$W174)-6,))+(OFFSET($B$5,SUM($W$6:$W174)-7,)-OFFSET($B$5,SUM($W$6:$W174)-8,))</f>
        <v>#REF!</v>
      </c>
      <c r="AJ174" s="439" t="e">
        <f ca="1">(OFFSET($B$5,SUM($W$6:$W174)-1,)-OFFSET($B$5,SUM($W$6:$W174)-2,))+(OFFSET($B$5,SUM($W$6:$W174)-3,)-OFFSET($B$5,SUM($W$6:$W174)-4,))+(OFFSET($B$5,SUM($W$6:$W174)-5,)-OFFSET($B$5,SUM($W$6:$W174)-6,))</f>
        <v>#REF!</v>
      </c>
      <c r="AK174" s="439">
        <f ca="1">(OFFSET($B$5,SUM($W$6:$W174)-1,)-OFFSET($B$5,SUM($W$6:$W174)-2,))+(OFFSET($B$5,SUM($W$6:$W174)-3,)-OFFSET($B$5,SUM($W$6:$W174)-4,))</f>
        <v>0</v>
      </c>
      <c r="AL174" s="439">
        <f ca="1">(OFFSET($B$5,SUM($W$6:$W174)-1,)-OFFSET($B$5,SUM($W$6:$W174)-2,))</f>
        <v>0</v>
      </c>
      <c r="AM174" s="433">
        <v>7</v>
      </c>
    </row>
    <row r="175" spans="6:39" x14ac:dyDescent="0.25">
      <c r="F175" s="378">
        <v>44546</v>
      </c>
      <c r="G175" s="370">
        <f t="shared" si="112"/>
        <v>44546</v>
      </c>
      <c r="H175" s="388">
        <f t="shared" si="120"/>
        <v>0</v>
      </c>
      <c r="I175" s="388">
        <f t="shared" ca="1" si="121"/>
        <v>-0.33333333333333331</v>
      </c>
      <c r="J175" s="386">
        <f t="shared" ref="J175:J177" ca="1" si="122">I175+J174</f>
        <v>-4.333333333333333</v>
      </c>
      <c r="K175" s="164"/>
      <c r="L175" s="60"/>
      <c r="T175" s="438">
        <f t="shared" si="115"/>
        <v>0</v>
      </c>
      <c r="U175" s="439" t="b">
        <f t="shared" si="116"/>
        <v>0</v>
      </c>
      <c r="V175" s="440" t="b">
        <f t="shared" si="117"/>
        <v>0</v>
      </c>
      <c r="W175" s="437">
        <f t="shared" si="118"/>
        <v>0</v>
      </c>
      <c r="X175" s="439">
        <f t="shared" si="93"/>
        <v>0</v>
      </c>
      <c r="Y175" s="439">
        <f t="shared" si="94"/>
        <v>0</v>
      </c>
      <c r="Z175" s="439">
        <f t="shared" si="111"/>
        <v>0</v>
      </c>
      <c r="AA175" s="439" t="e">
        <f ca="1">(OFFSET($B$5,SUM($W$6:$W175),)-OFFSET($B$5,(SUM($W$6:$W175)-SUM($W175:$W175)+1),))</f>
        <v>#VALUE!</v>
      </c>
      <c r="AB175" s="439" t="e">
        <f ca="1">(OFFSET($B$5,SUM($W$6:$W175),)-OFFSET($B$5,SUM($W$6:$W175)-1,))+(OFFSET($B$5,SUM($W$6:$W175)-2,)-OFFSET($B$5,SUM($W$6:$W175)-3,))+(OFFSET($B$5,SUM($W$6:$W175)-4,)-OFFSET($B$5,SUM($W$6:$W175)-5,))+(OFFSET($B$5,SUM($W$6:$W175)-6,)-OFFSET($B$5,SUM($W$6:$W175)-7,))+(OFFSET($B$5,SUM($W$6:$W175)-8,)-OFFSET($B$5,SUM($W$6:$W175)-9,))+(OFFSET($B$5,SUM($W$6:$W175)-10,)-OFFSET($B$5,SUM($W$6:$W175)-11,))</f>
        <v>#VALUE!</v>
      </c>
      <c r="AC175" s="439" t="e">
        <f ca="1">(OFFSET($B$5,SUM($W$6:$W175),)-OFFSET($B$5,SUM($W$6:$W175)-1,))+(OFFSET($B$5,SUM($W$6:$W175)-2,)-OFFSET($B$5,SUM($W$6:$W175)-3,))+(OFFSET($B$5,SUM($W$6:$W175)-4,)-OFFSET($B$5,SUM($W$6:$W175)-5,))+(OFFSET($B$5,SUM($W$6:$W175)-6,)-OFFSET($B$5,SUM($W$6:$W175)-7,))+(OFFSET($B$5,SUM($W$6:$W175)-8,)-OFFSET($B$5,SUM($W$6:$W175)-9,))</f>
        <v>#VALUE!</v>
      </c>
      <c r="AD175" s="439" t="e">
        <f ca="1">(OFFSET($B$5,SUM($W$6:$W175),)-OFFSET($B$5,SUM($W$6:$W175)-1,))+(OFFSET($B$5,SUM($W$6:$W175)-2,)-OFFSET($B$5,SUM($W$6:$W175)-3,))+(OFFSET($B$5,SUM($W$6:$W175)-4,)-OFFSET($B$5,SUM($W$6:$W175)-5,))+(OFFSET($B$5,SUM($W$6:$W175)-6,)-OFFSET($B$5,SUM($W$6:$W175)-7,))</f>
        <v>#VALUE!</v>
      </c>
      <c r="AE175" s="439" t="e">
        <f ca="1">(OFFSET($B$5,SUM($W$6:$W175),)-OFFSET($B$5,SUM($W$6:$W175)-1,))+(OFFSET($B$5,SUM($W$6:$W175)-2,)-OFFSET($B$5,SUM($W$6:$W175)-3,))+(OFFSET($B$5,SUM($W$6:$W175)-4,)-OFFSET($B$5,SUM($W$6:$W175)-5,))</f>
        <v>#VALUE!</v>
      </c>
      <c r="AF175" s="439" t="e">
        <f ca="1">(OFFSET($B$5,SUM($W$6:$W175),)-OFFSET($B$5,SUM($W$6:$W175)-1,))+(OFFSET($B$5,SUM($W$6:$W175)-2,)-OFFSET($B$5,SUM($W$6:$W175)-3,))</f>
        <v>#VALUE!</v>
      </c>
      <c r="AG175" s="439" t="e">
        <f ca="1">(OFFSET($B$5,SUM($W$6:$W175),)-OFFSET($B$5,SUM($W$6:$W175)-1,))</f>
        <v>#VALUE!</v>
      </c>
      <c r="AH175" s="439" t="e">
        <f ca="1">(OFFSET($B$5,SUM($W$6:$W175)-1,)-OFFSET($B$5,SUM($W$6:$W175)-2,))+(OFFSET($B$5,SUM($W$6:$W175)-3,)-OFFSET($B$5,SUM($W$6:$W175)-4,))+(OFFSET($B$5,SUM($W$6:$W175)-5,)-OFFSET($B$5,SUM($W$6:$W175)-6,))+(OFFSET($B$5,SUM($W$6:$W175)-7,)-OFFSET($B$5,SUM($W$6:$W175)-8,))+(OFFSET($B$5,SUM($W$6:$W175)-9,)-OFFSET($B$5,SUM($W$6:$W175)-10,))</f>
        <v>#REF!</v>
      </c>
      <c r="AI175" s="439" t="e">
        <f ca="1">(OFFSET($B$5,SUM($W$6:$W175)-1,)-OFFSET($B$5,SUM($W$6:$W175)-2,))+(OFFSET($B$5,SUM($W$6:$W175)-3,)-OFFSET($B$5,SUM($W$6:$W175)-4,))+(OFFSET($B$5,SUM($W$6:$W175)-5,)-OFFSET($B$5,SUM($W$6:$W175)-6,))+(OFFSET($B$5,SUM($W$6:$W175)-7,)-OFFSET($B$5,SUM($W$6:$W175)-8,))</f>
        <v>#REF!</v>
      </c>
      <c r="AJ175" s="439" t="e">
        <f ca="1">(OFFSET($B$5,SUM($W$6:$W175)-1,)-OFFSET($B$5,SUM($W$6:$W175)-2,))+(OFFSET($B$5,SUM($W$6:$W175)-3,)-OFFSET($B$5,SUM($W$6:$W175)-4,))+(OFFSET($B$5,SUM($W$6:$W175)-5,)-OFFSET($B$5,SUM($W$6:$W175)-6,))</f>
        <v>#REF!</v>
      </c>
      <c r="AK175" s="439">
        <f ca="1">(OFFSET($B$5,SUM($W$6:$W175)-1,)-OFFSET($B$5,SUM($W$6:$W175)-2,))+(OFFSET($B$5,SUM($W$6:$W175)-3,)-OFFSET($B$5,SUM($W$6:$W175)-4,))</f>
        <v>0</v>
      </c>
      <c r="AL175" s="439">
        <f ca="1">(OFFSET($B$5,SUM($W$6:$W175)-1,)-OFFSET($B$5,SUM($W$6:$W175)-2,))</f>
        <v>0</v>
      </c>
      <c r="AM175" s="433">
        <v>7.0416666666666696</v>
      </c>
    </row>
    <row r="176" spans="6:39" x14ac:dyDescent="0.25">
      <c r="F176" s="378">
        <v>44547</v>
      </c>
      <c r="G176" s="370">
        <f t="shared" si="112"/>
        <v>44547</v>
      </c>
      <c r="H176" s="388">
        <f t="shared" si="120"/>
        <v>0</v>
      </c>
      <c r="I176" s="388">
        <f t="shared" ca="1" si="121"/>
        <v>-0.33333333333333331</v>
      </c>
      <c r="J176" s="386">
        <f t="shared" ca="1" si="122"/>
        <v>-4.6666666666666661</v>
      </c>
      <c r="K176" s="164"/>
      <c r="L176" s="60"/>
      <c r="T176" s="438">
        <f t="shared" si="115"/>
        <v>0</v>
      </c>
      <c r="U176" s="439" t="b">
        <f t="shared" si="116"/>
        <v>0</v>
      </c>
      <c r="V176" s="440" t="b">
        <f t="shared" si="117"/>
        <v>0</v>
      </c>
      <c r="W176" s="437">
        <f t="shared" si="118"/>
        <v>0</v>
      </c>
      <c r="X176" s="439">
        <f t="shared" si="93"/>
        <v>0</v>
      </c>
      <c r="Y176" s="439">
        <f t="shared" si="94"/>
        <v>0</v>
      </c>
      <c r="Z176" s="439">
        <f t="shared" si="111"/>
        <v>0</v>
      </c>
      <c r="AA176" s="439" t="e">
        <f ca="1">(OFFSET($B$5,SUM($W$6:$W176),)-OFFSET($B$5,(SUM($W$6:$W176)-SUM($W176:$W176)+1),))</f>
        <v>#VALUE!</v>
      </c>
      <c r="AB176" s="439" t="e">
        <f ca="1">(OFFSET($B$5,SUM($W$6:$W176),)-OFFSET($B$5,SUM($W$6:$W176)-1,))+(OFFSET($B$5,SUM($W$6:$W176)-2,)-OFFSET($B$5,SUM($W$6:$W176)-3,))+(OFFSET($B$5,SUM($W$6:$W176)-4,)-OFFSET($B$5,SUM($W$6:$W176)-5,))+(OFFSET($B$5,SUM($W$6:$W176)-6,)-OFFSET($B$5,SUM($W$6:$W176)-7,))+(OFFSET($B$5,SUM($W$6:$W176)-8,)-OFFSET($B$5,SUM($W$6:$W176)-9,))+(OFFSET($B$5,SUM($W$6:$W176)-10,)-OFFSET($B$5,SUM($W$6:$W176)-11,))</f>
        <v>#VALUE!</v>
      </c>
      <c r="AC176" s="439" t="e">
        <f ca="1">(OFFSET($B$5,SUM($W$6:$W176),)-OFFSET($B$5,SUM($W$6:$W176)-1,))+(OFFSET($B$5,SUM($W$6:$W176)-2,)-OFFSET($B$5,SUM($W$6:$W176)-3,))+(OFFSET($B$5,SUM($W$6:$W176)-4,)-OFFSET($B$5,SUM($W$6:$W176)-5,))+(OFFSET($B$5,SUM($W$6:$W176)-6,)-OFFSET($B$5,SUM($W$6:$W176)-7,))+(OFFSET($B$5,SUM($W$6:$W176)-8,)-OFFSET($B$5,SUM($W$6:$W176)-9,))</f>
        <v>#VALUE!</v>
      </c>
      <c r="AD176" s="439" t="e">
        <f ca="1">(OFFSET($B$5,SUM($W$6:$W176),)-OFFSET($B$5,SUM($W$6:$W176)-1,))+(OFFSET($B$5,SUM($W$6:$W176)-2,)-OFFSET($B$5,SUM($W$6:$W176)-3,))+(OFFSET($B$5,SUM($W$6:$W176)-4,)-OFFSET($B$5,SUM($W$6:$W176)-5,))+(OFFSET($B$5,SUM($W$6:$W176)-6,)-OFFSET($B$5,SUM($W$6:$W176)-7,))</f>
        <v>#VALUE!</v>
      </c>
      <c r="AE176" s="439" t="e">
        <f ca="1">(OFFSET($B$5,SUM($W$6:$W176),)-OFFSET($B$5,SUM($W$6:$W176)-1,))+(OFFSET($B$5,SUM($W$6:$W176)-2,)-OFFSET($B$5,SUM($W$6:$W176)-3,))+(OFFSET($B$5,SUM($W$6:$W176)-4,)-OFFSET($B$5,SUM($W$6:$W176)-5,))</f>
        <v>#VALUE!</v>
      </c>
      <c r="AF176" s="439" t="e">
        <f ca="1">(OFFSET($B$5,SUM($W$6:$W176),)-OFFSET($B$5,SUM($W$6:$W176)-1,))+(OFFSET($B$5,SUM($W$6:$W176)-2,)-OFFSET($B$5,SUM($W$6:$W176)-3,))</f>
        <v>#VALUE!</v>
      </c>
      <c r="AG176" s="439" t="e">
        <f ca="1">(OFFSET($B$5,SUM($W$6:$W176),)-OFFSET($B$5,SUM($W$6:$W176)-1,))</f>
        <v>#VALUE!</v>
      </c>
      <c r="AH176" s="439" t="e">
        <f ca="1">(OFFSET($B$5,SUM($W$6:$W176)-1,)-OFFSET($B$5,SUM($W$6:$W176)-2,))+(OFFSET($B$5,SUM($W$6:$W176)-3,)-OFFSET($B$5,SUM($W$6:$W176)-4,))+(OFFSET($B$5,SUM($W$6:$W176)-5,)-OFFSET($B$5,SUM($W$6:$W176)-6,))+(OFFSET($B$5,SUM($W$6:$W176)-7,)-OFFSET($B$5,SUM($W$6:$W176)-8,))+(OFFSET($B$5,SUM($W$6:$W176)-9,)-OFFSET($B$5,SUM($W$6:$W176)-10,))</f>
        <v>#REF!</v>
      </c>
      <c r="AI176" s="439" t="e">
        <f ca="1">(OFFSET($B$5,SUM($W$6:$W176)-1,)-OFFSET($B$5,SUM($W$6:$W176)-2,))+(OFFSET($B$5,SUM($W$6:$W176)-3,)-OFFSET($B$5,SUM($W$6:$W176)-4,))+(OFFSET($B$5,SUM($W$6:$W176)-5,)-OFFSET($B$5,SUM($W$6:$W176)-6,))+(OFFSET($B$5,SUM($W$6:$W176)-7,)-OFFSET($B$5,SUM($W$6:$W176)-8,))</f>
        <v>#REF!</v>
      </c>
      <c r="AJ176" s="439" t="e">
        <f ca="1">(OFFSET($B$5,SUM($W$6:$W176)-1,)-OFFSET($B$5,SUM($W$6:$W176)-2,))+(OFFSET($B$5,SUM($W$6:$W176)-3,)-OFFSET($B$5,SUM($W$6:$W176)-4,))+(OFFSET($B$5,SUM($W$6:$W176)-5,)-OFFSET($B$5,SUM($W$6:$W176)-6,))</f>
        <v>#REF!</v>
      </c>
      <c r="AK176" s="439">
        <f ca="1">(OFFSET($B$5,SUM($W$6:$W176)-1,)-OFFSET($B$5,SUM($W$6:$W176)-2,))+(OFFSET($B$5,SUM($W$6:$W176)-3,)-OFFSET($B$5,SUM($W$6:$W176)-4,))</f>
        <v>0</v>
      </c>
      <c r="AL176" s="439">
        <f ca="1">(OFFSET($B$5,SUM($W$6:$W176)-1,)-OFFSET($B$5,SUM($W$6:$W176)-2,))</f>
        <v>0</v>
      </c>
      <c r="AM176" s="433">
        <v>7.0833333333333304</v>
      </c>
    </row>
    <row r="177" spans="6:39" x14ac:dyDescent="0.25">
      <c r="F177" s="378">
        <v>44548</v>
      </c>
      <c r="G177" s="370">
        <f t="shared" si="112"/>
        <v>44548</v>
      </c>
      <c r="H177" s="388">
        <f t="shared" si="120"/>
        <v>0</v>
      </c>
      <c r="I177" s="388">
        <f t="shared" ca="1" si="121"/>
        <v>-0.33333333333333331</v>
      </c>
      <c r="J177" s="386">
        <f t="shared" ca="1" si="122"/>
        <v>-4.9999999999999991</v>
      </c>
      <c r="K177" s="164"/>
      <c r="L177" s="60"/>
      <c r="T177" s="438">
        <f t="shared" si="115"/>
        <v>0</v>
      </c>
      <c r="U177" s="439" t="b">
        <f t="shared" si="116"/>
        <v>0</v>
      </c>
      <c r="V177" s="440" t="b">
        <f t="shared" si="117"/>
        <v>0</v>
      </c>
      <c r="W177" s="437">
        <f t="shared" si="118"/>
        <v>0</v>
      </c>
      <c r="X177" s="439">
        <f t="shared" si="93"/>
        <v>0</v>
      </c>
      <c r="Y177" s="439">
        <f t="shared" si="94"/>
        <v>0</v>
      </c>
      <c r="Z177" s="439">
        <f t="shared" si="111"/>
        <v>0</v>
      </c>
      <c r="AA177" s="439" t="e">
        <f ca="1">(OFFSET($B$5,SUM($W$6:$W177),)-OFFSET($B$5,(SUM($W$6:$W177)-SUM($W177:$W177)+1),))</f>
        <v>#VALUE!</v>
      </c>
      <c r="AB177" s="439" t="e">
        <f ca="1">(OFFSET($B$5,SUM($W$6:$W177),)-OFFSET($B$5,SUM($W$6:$W177)-1,))+(OFFSET($B$5,SUM($W$6:$W177)-2,)-OFFSET($B$5,SUM($W$6:$W177)-3,))+(OFFSET($B$5,SUM($W$6:$W177)-4,)-OFFSET($B$5,SUM($W$6:$W177)-5,))+(OFFSET($B$5,SUM($W$6:$W177)-6,)-OFFSET($B$5,SUM($W$6:$W177)-7,))+(OFFSET($B$5,SUM($W$6:$W177)-8,)-OFFSET($B$5,SUM($W$6:$W177)-9,))+(OFFSET($B$5,SUM($W$6:$W177)-10,)-OFFSET($B$5,SUM($W$6:$W177)-11,))</f>
        <v>#VALUE!</v>
      </c>
      <c r="AC177" s="439" t="e">
        <f ca="1">(OFFSET($B$5,SUM($W$6:$W177),)-OFFSET($B$5,SUM($W$6:$W177)-1,))+(OFFSET($B$5,SUM($W$6:$W177)-2,)-OFFSET($B$5,SUM($W$6:$W177)-3,))+(OFFSET($B$5,SUM($W$6:$W177)-4,)-OFFSET($B$5,SUM($W$6:$W177)-5,))+(OFFSET($B$5,SUM($W$6:$W177)-6,)-OFFSET($B$5,SUM($W$6:$W177)-7,))+(OFFSET($B$5,SUM($W$6:$W177)-8,)-OFFSET($B$5,SUM($W$6:$W177)-9,))</f>
        <v>#VALUE!</v>
      </c>
      <c r="AD177" s="439" t="e">
        <f ca="1">(OFFSET($B$5,SUM($W$6:$W177),)-OFFSET($B$5,SUM($W$6:$W177)-1,))+(OFFSET($B$5,SUM($W$6:$W177)-2,)-OFFSET($B$5,SUM($W$6:$W177)-3,))+(OFFSET($B$5,SUM($W$6:$W177)-4,)-OFFSET($B$5,SUM($W$6:$W177)-5,))+(OFFSET($B$5,SUM($W$6:$W177)-6,)-OFFSET($B$5,SUM($W$6:$W177)-7,))</f>
        <v>#VALUE!</v>
      </c>
      <c r="AE177" s="439" t="e">
        <f ca="1">(OFFSET($B$5,SUM($W$6:$W177),)-OFFSET($B$5,SUM($W$6:$W177)-1,))+(OFFSET($B$5,SUM($W$6:$W177)-2,)-OFFSET($B$5,SUM($W$6:$W177)-3,))+(OFFSET($B$5,SUM($W$6:$W177)-4,)-OFFSET($B$5,SUM($W$6:$W177)-5,))</f>
        <v>#VALUE!</v>
      </c>
      <c r="AF177" s="439" t="e">
        <f ca="1">(OFFSET($B$5,SUM($W$6:$W177),)-OFFSET($B$5,SUM($W$6:$W177)-1,))+(OFFSET($B$5,SUM($W$6:$W177)-2,)-OFFSET($B$5,SUM($W$6:$W177)-3,))</f>
        <v>#VALUE!</v>
      </c>
      <c r="AG177" s="439" t="e">
        <f ca="1">(OFFSET($B$5,SUM($W$6:$W177),)-OFFSET($B$5,SUM($W$6:$W177)-1,))</f>
        <v>#VALUE!</v>
      </c>
      <c r="AH177" s="439" t="e">
        <f ca="1">(OFFSET($B$5,SUM($W$6:$W177)-1,)-OFFSET($B$5,SUM($W$6:$W177)-2,))+(OFFSET($B$5,SUM($W$6:$W177)-3,)-OFFSET($B$5,SUM($W$6:$W177)-4,))+(OFFSET($B$5,SUM($W$6:$W177)-5,)-OFFSET($B$5,SUM($W$6:$W177)-6,))+(OFFSET($B$5,SUM($W$6:$W177)-7,)-OFFSET($B$5,SUM($W$6:$W177)-8,))+(OFFSET($B$5,SUM($W$6:$W177)-9,)-OFFSET($B$5,SUM($W$6:$W177)-10,))</f>
        <v>#REF!</v>
      </c>
      <c r="AI177" s="439" t="e">
        <f ca="1">(OFFSET($B$5,SUM($W$6:$W177)-1,)-OFFSET($B$5,SUM($W$6:$W177)-2,))+(OFFSET($B$5,SUM($W$6:$W177)-3,)-OFFSET($B$5,SUM($W$6:$W177)-4,))+(OFFSET($B$5,SUM($W$6:$W177)-5,)-OFFSET($B$5,SUM($W$6:$W177)-6,))+(OFFSET($B$5,SUM($W$6:$W177)-7,)-OFFSET($B$5,SUM($W$6:$W177)-8,))</f>
        <v>#REF!</v>
      </c>
      <c r="AJ177" s="439" t="e">
        <f ca="1">(OFFSET($B$5,SUM($W$6:$W177)-1,)-OFFSET($B$5,SUM($W$6:$W177)-2,))+(OFFSET($B$5,SUM($W$6:$W177)-3,)-OFFSET($B$5,SUM($W$6:$W177)-4,))+(OFFSET($B$5,SUM($W$6:$W177)-5,)-OFFSET($B$5,SUM($W$6:$W177)-6,))</f>
        <v>#REF!</v>
      </c>
      <c r="AK177" s="439">
        <f ca="1">(OFFSET($B$5,SUM($W$6:$W177)-1,)-OFFSET($B$5,SUM($W$6:$W177)-2,))+(OFFSET($B$5,SUM($W$6:$W177)-3,)-OFFSET($B$5,SUM($W$6:$W177)-4,))</f>
        <v>0</v>
      </c>
      <c r="AL177" s="439">
        <f ca="1">(OFFSET($B$5,SUM($W$6:$W177)-1,)-OFFSET($B$5,SUM($W$6:$W177)-2,))</f>
        <v>0</v>
      </c>
      <c r="AM177" s="433">
        <v>7.125</v>
      </c>
    </row>
    <row r="178" spans="6:39" x14ac:dyDescent="0.25">
      <c r="F178" s="378">
        <v>44549</v>
      </c>
      <c r="G178" s="404">
        <f t="shared" si="112"/>
        <v>44549</v>
      </c>
      <c r="H178" s="389"/>
      <c r="I178" s="389"/>
      <c r="J178" s="389"/>
      <c r="K178" s="164"/>
      <c r="L178" s="60"/>
      <c r="T178" s="438">
        <f t="shared" si="115"/>
        <v>0</v>
      </c>
      <c r="U178" s="439" t="b">
        <f t="shared" si="116"/>
        <v>0</v>
      </c>
      <c r="V178" s="440" t="b">
        <f t="shared" si="117"/>
        <v>0</v>
      </c>
      <c r="W178" s="437">
        <f t="shared" si="118"/>
        <v>0</v>
      </c>
      <c r="X178" s="439">
        <f t="shared" si="93"/>
        <v>0</v>
      </c>
      <c r="Y178" s="439">
        <f t="shared" si="94"/>
        <v>0</v>
      </c>
      <c r="Z178" s="439">
        <f t="shared" si="111"/>
        <v>0</v>
      </c>
      <c r="AA178" s="439" t="e">
        <f ca="1">(OFFSET($B$5,SUM($W$6:$W178),)-OFFSET($B$5,(SUM($W$6:$W178)-SUM($W178:$W178)+1),))</f>
        <v>#VALUE!</v>
      </c>
      <c r="AB178" s="439" t="e">
        <f ca="1">(OFFSET($B$5,SUM($W$6:$W178),)-OFFSET($B$5,SUM($W$6:$W178)-1,))+(OFFSET($B$5,SUM($W$6:$W178)-2,)-OFFSET($B$5,SUM($W$6:$W178)-3,))+(OFFSET($B$5,SUM($W$6:$W178)-4,)-OFFSET($B$5,SUM($W$6:$W178)-5,))+(OFFSET($B$5,SUM($W$6:$W178)-6,)-OFFSET($B$5,SUM($W$6:$W178)-7,))+(OFFSET($B$5,SUM($W$6:$W178)-8,)-OFFSET($B$5,SUM($W$6:$W178)-9,))+(OFFSET($B$5,SUM($W$6:$W178)-10,)-OFFSET($B$5,SUM($W$6:$W178)-11,))</f>
        <v>#VALUE!</v>
      </c>
      <c r="AC178" s="439" t="e">
        <f ca="1">(OFFSET($B$5,SUM($W$6:$W178),)-OFFSET($B$5,SUM($W$6:$W178)-1,))+(OFFSET($B$5,SUM($W$6:$W178)-2,)-OFFSET($B$5,SUM($W$6:$W178)-3,))+(OFFSET($B$5,SUM($W$6:$W178)-4,)-OFFSET($B$5,SUM($W$6:$W178)-5,))+(OFFSET($B$5,SUM($W$6:$W178)-6,)-OFFSET($B$5,SUM($W$6:$W178)-7,))+(OFFSET($B$5,SUM($W$6:$W178)-8,)-OFFSET($B$5,SUM($W$6:$W178)-9,))</f>
        <v>#VALUE!</v>
      </c>
      <c r="AD178" s="439" t="e">
        <f ca="1">(OFFSET($B$5,SUM($W$6:$W178),)-OFFSET($B$5,SUM($W$6:$W178)-1,))+(OFFSET($B$5,SUM($W$6:$W178)-2,)-OFFSET($B$5,SUM($W$6:$W178)-3,))+(OFFSET($B$5,SUM($W$6:$W178)-4,)-OFFSET($B$5,SUM($W$6:$W178)-5,))+(OFFSET($B$5,SUM($W$6:$W178)-6,)-OFFSET($B$5,SUM($W$6:$W178)-7,))</f>
        <v>#VALUE!</v>
      </c>
      <c r="AE178" s="439" t="e">
        <f ca="1">(OFFSET($B$5,SUM($W$6:$W178),)-OFFSET($B$5,SUM($W$6:$W178)-1,))+(OFFSET($B$5,SUM($W$6:$W178)-2,)-OFFSET($B$5,SUM($W$6:$W178)-3,))+(OFFSET($B$5,SUM($W$6:$W178)-4,)-OFFSET($B$5,SUM($W$6:$W178)-5,))</f>
        <v>#VALUE!</v>
      </c>
      <c r="AF178" s="439" t="e">
        <f ca="1">(OFFSET($B$5,SUM($W$6:$W178),)-OFFSET($B$5,SUM($W$6:$W178)-1,))+(OFFSET($B$5,SUM($W$6:$W178)-2,)-OFFSET($B$5,SUM($W$6:$W178)-3,))</f>
        <v>#VALUE!</v>
      </c>
      <c r="AG178" s="439" t="e">
        <f ca="1">(OFFSET($B$5,SUM($W$6:$W178),)-OFFSET($B$5,SUM($W$6:$W178)-1,))</f>
        <v>#VALUE!</v>
      </c>
      <c r="AH178" s="439" t="e">
        <f ca="1">(OFFSET($B$5,SUM($W$6:$W178)-1,)-OFFSET($B$5,SUM($W$6:$W178)-2,))+(OFFSET($B$5,SUM($W$6:$W178)-3,)-OFFSET($B$5,SUM($W$6:$W178)-4,))+(OFFSET($B$5,SUM($W$6:$W178)-5,)-OFFSET($B$5,SUM($W$6:$W178)-6,))+(OFFSET($B$5,SUM($W$6:$W178)-7,)-OFFSET($B$5,SUM($W$6:$W178)-8,))+(OFFSET($B$5,SUM($W$6:$W178)-9,)-OFFSET($B$5,SUM($W$6:$W178)-10,))</f>
        <v>#REF!</v>
      </c>
      <c r="AI178" s="439" t="e">
        <f ca="1">(OFFSET($B$5,SUM($W$6:$W178)-1,)-OFFSET($B$5,SUM($W$6:$W178)-2,))+(OFFSET($B$5,SUM($W$6:$W178)-3,)-OFFSET($B$5,SUM($W$6:$W178)-4,))+(OFFSET($B$5,SUM($W$6:$W178)-5,)-OFFSET($B$5,SUM($W$6:$W178)-6,))+(OFFSET($B$5,SUM($W$6:$W178)-7,)-OFFSET($B$5,SUM($W$6:$W178)-8,))</f>
        <v>#REF!</v>
      </c>
      <c r="AJ178" s="439" t="e">
        <f ca="1">(OFFSET($B$5,SUM($W$6:$W178)-1,)-OFFSET($B$5,SUM($W$6:$W178)-2,))+(OFFSET($B$5,SUM($W$6:$W178)-3,)-OFFSET($B$5,SUM($W$6:$W178)-4,))+(OFFSET($B$5,SUM($W$6:$W178)-5,)-OFFSET($B$5,SUM($W$6:$W178)-6,))</f>
        <v>#REF!</v>
      </c>
      <c r="AK178" s="439">
        <f ca="1">(OFFSET($B$5,SUM($W$6:$W178)-1,)-OFFSET($B$5,SUM($W$6:$W178)-2,))+(OFFSET($B$5,SUM($W$6:$W178)-3,)-OFFSET($B$5,SUM($W$6:$W178)-4,))</f>
        <v>0</v>
      </c>
      <c r="AL178" s="439">
        <f ca="1">(OFFSET($B$5,SUM($W$6:$W178)-1,)-OFFSET($B$5,SUM($W$6:$W178)-2,))</f>
        <v>0</v>
      </c>
      <c r="AM178" s="433">
        <v>7.1666666666666696</v>
      </c>
    </row>
    <row r="179" spans="6:39" x14ac:dyDescent="0.25">
      <c r="F179" s="378">
        <v>44550</v>
      </c>
      <c r="G179" s="404">
        <f t="shared" si="112"/>
        <v>44550</v>
      </c>
      <c r="H179" s="389"/>
      <c r="I179" s="389"/>
      <c r="J179" s="389"/>
      <c r="K179" s="164"/>
      <c r="L179" s="60"/>
      <c r="T179" s="438">
        <f t="shared" si="115"/>
        <v>0</v>
      </c>
      <c r="U179" s="439" t="b">
        <f t="shared" si="116"/>
        <v>0</v>
      </c>
      <c r="V179" s="440" t="b">
        <f t="shared" si="117"/>
        <v>0</v>
      </c>
      <c r="W179" s="437">
        <f t="shared" si="118"/>
        <v>0</v>
      </c>
      <c r="X179" s="439">
        <f t="shared" si="93"/>
        <v>0</v>
      </c>
      <c r="Y179" s="439">
        <f t="shared" si="94"/>
        <v>0</v>
      </c>
      <c r="Z179" s="439">
        <f t="shared" si="111"/>
        <v>0</v>
      </c>
      <c r="AA179" s="439" t="e">
        <f ca="1">(OFFSET($B$5,SUM($W$6:$W179),)-OFFSET($B$5,(SUM($W$6:$W179)-SUM($W179:$W179)+1),))</f>
        <v>#VALUE!</v>
      </c>
      <c r="AB179" s="439" t="e">
        <f ca="1">(OFFSET($B$5,SUM($W$6:$W179),)-OFFSET($B$5,SUM($W$6:$W179)-1,))+(OFFSET($B$5,SUM($W$6:$W179)-2,)-OFFSET($B$5,SUM($W$6:$W179)-3,))+(OFFSET($B$5,SUM($W$6:$W179)-4,)-OFFSET($B$5,SUM($W$6:$W179)-5,))+(OFFSET($B$5,SUM($W$6:$W179)-6,)-OFFSET($B$5,SUM($W$6:$W179)-7,))+(OFFSET($B$5,SUM($W$6:$W179)-8,)-OFFSET($B$5,SUM($W$6:$W179)-9,))+(OFFSET($B$5,SUM($W$6:$W179)-10,)-OFFSET($B$5,SUM($W$6:$W179)-11,))</f>
        <v>#VALUE!</v>
      </c>
      <c r="AC179" s="439" t="e">
        <f ca="1">(OFFSET($B$5,SUM($W$6:$W179),)-OFFSET($B$5,SUM($W$6:$W179)-1,))+(OFFSET($B$5,SUM($W$6:$W179)-2,)-OFFSET($B$5,SUM($W$6:$W179)-3,))+(OFFSET($B$5,SUM($W$6:$W179)-4,)-OFFSET($B$5,SUM($W$6:$W179)-5,))+(OFFSET($B$5,SUM($W$6:$W179)-6,)-OFFSET($B$5,SUM($W$6:$W179)-7,))+(OFFSET($B$5,SUM($W$6:$W179)-8,)-OFFSET($B$5,SUM($W$6:$W179)-9,))</f>
        <v>#VALUE!</v>
      </c>
      <c r="AD179" s="439" t="e">
        <f ca="1">(OFFSET($B$5,SUM($W$6:$W179),)-OFFSET($B$5,SUM($W$6:$W179)-1,))+(OFFSET($B$5,SUM($W$6:$W179)-2,)-OFFSET($B$5,SUM($W$6:$W179)-3,))+(OFFSET($B$5,SUM($W$6:$W179)-4,)-OFFSET($B$5,SUM($W$6:$W179)-5,))+(OFFSET($B$5,SUM($W$6:$W179)-6,)-OFFSET($B$5,SUM($W$6:$W179)-7,))</f>
        <v>#VALUE!</v>
      </c>
      <c r="AE179" s="439" t="e">
        <f ca="1">(OFFSET($B$5,SUM($W$6:$W179),)-OFFSET($B$5,SUM($W$6:$W179)-1,))+(OFFSET($B$5,SUM($W$6:$W179)-2,)-OFFSET($B$5,SUM($W$6:$W179)-3,))+(OFFSET($B$5,SUM($W$6:$W179)-4,)-OFFSET($B$5,SUM($W$6:$W179)-5,))</f>
        <v>#VALUE!</v>
      </c>
      <c r="AF179" s="439" t="e">
        <f ca="1">(OFFSET($B$5,SUM($W$6:$W179),)-OFFSET($B$5,SUM($W$6:$W179)-1,))+(OFFSET($B$5,SUM($W$6:$W179)-2,)-OFFSET($B$5,SUM($W$6:$W179)-3,))</f>
        <v>#VALUE!</v>
      </c>
      <c r="AG179" s="439" t="e">
        <f ca="1">(OFFSET($B$5,SUM($W$6:$W179),)-OFFSET($B$5,SUM($W$6:$W179)-1,))</f>
        <v>#VALUE!</v>
      </c>
      <c r="AH179" s="439" t="e">
        <f ca="1">(OFFSET($B$5,SUM($W$6:$W179)-1,)-OFFSET($B$5,SUM($W$6:$W179)-2,))+(OFFSET($B$5,SUM($W$6:$W179)-3,)-OFFSET($B$5,SUM($W$6:$W179)-4,))+(OFFSET($B$5,SUM($W$6:$W179)-5,)-OFFSET($B$5,SUM($W$6:$W179)-6,))+(OFFSET($B$5,SUM($W$6:$W179)-7,)-OFFSET($B$5,SUM($W$6:$W179)-8,))+(OFFSET($B$5,SUM($W$6:$W179)-9,)-OFFSET($B$5,SUM($W$6:$W179)-10,))</f>
        <v>#REF!</v>
      </c>
      <c r="AI179" s="439" t="e">
        <f ca="1">(OFFSET($B$5,SUM($W$6:$W179)-1,)-OFFSET($B$5,SUM($W$6:$W179)-2,))+(OFFSET($B$5,SUM($W$6:$W179)-3,)-OFFSET($B$5,SUM($W$6:$W179)-4,))+(OFFSET($B$5,SUM($W$6:$W179)-5,)-OFFSET($B$5,SUM($W$6:$W179)-6,))+(OFFSET($B$5,SUM($W$6:$W179)-7,)-OFFSET($B$5,SUM($W$6:$W179)-8,))</f>
        <v>#REF!</v>
      </c>
      <c r="AJ179" s="439" t="e">
        <f ca="1">(OFFSET($B$5,SUM($W$6:$W179)-1,)-OFFSET($B$5,SUM($W$6:$W179)-2,))+(OFFSET($B$5,SUM($W$6:$W179)-3,)-OFFSET($B$5,SUM($W$6:$W179)-4,))+(OFFSET($B$5,SUM($W$6:$W179)-5,)-OFFSET($B$5,SUM($W$6:$W179)-6,))</f>
        <v>#REF!</v>
      </c>
      <c r="AK179" s="439">
        <f ca="1">(OFFSET($B$5,SUM($W$6:$W179)-1,)-OFFSET($B$5,SUM($W$6:$W179)-2,))+(OFFSET($B$5,SUM($W$6:$W179)-3,)-OFFSET($B$5,SUM($W$6:$W179)-4,))</f>
        <v>0</v>
      </c>
      <c r="AL179" s="439">
        <f ca="1">(OFFSET($B$5,SUM($W$6:$W179)-1,)-OFFSET($B$5,SUM($W$6:$W179)-2,))</f>
        <v>0</v>
      </c>
      <c r="AM179" s="433">
        <v>7.2083333333333304</v>
      </c>
    </row>
    <row r="180" spans="6:39" x14ac:dyDescent="0.25">
      <c r="F180" s="378">
        <v>44551</v>
      </c>
      <c r="G180" s="370">
        <f t="shared" si="112"/>
        <v>44551</v>
      </c>
      <c r="H180" s="388">
        <f t="shared" ref="H180:H184" si="123">X180</f>
        <v>0</v>
      </c>
      <c r="I180" s="388">
        <f t="shared" ref="I180:I184" ca="1" si="124">IFERROR(H180+T180+OFFSET($L$160,MATCH(F180,$K$161:$K$190,0),0)-$W$2,H180-$W$2)</f>
        <v>-0.33333333333333331</v>
      </c>
      <c r="J180" s="386">
        <f ca="1">I180+J177</f>
        <v>-5.3333333333333321</v>
      </c>
      <c r="K180" s="164"/>
      <c r="L180" s="60"/>
      <c r="T180" s="438">
        <f t="shared" si="115"/>
        <v>0</v>
      </c>
      <c r="U180" s="439" t="b">
        <f t="shared" si="116"/>
        <v>0</v>
      </c>
      <c r="V180" s="440" t="b">
        <f t="shared" si="117"/>
        <v>0</v>
      </c>
      <c r="W180" s="437">
        <f t="shared" si="118"/>
        <v>0</v>
      </c>
      <c r="X180" s="439">
        <f t="shared" si="93"/>
        <v>0</v>
      </c>
      <c r="Y180" s="439">
        <f t="shared" si="94"/>
        <v>0</v>
      </c>
      <c r="Z180" s="439">
        <f t="shared" si="111"/>
        <v>0</v>
      </c>
      <c r="AA180" s="439" t="e">
        <f ca="1">(OFFSET($B$5,SUM($W$6:$W180),)-OFFSET($B$5,(SUM($W$6:$W180)-SUM($W180:$W180)+1),))</f>
        <v>#VALUE!</v>
      </c>
      <c r="AB180" s="439" t="e">
        <f ca="1">(OFFSET($B$5,SUM($W$6:$W180),)-OFFSET($B$5,SUM($W$6:$W180)-1,))+(OFFSET($B$5,SUM($W$6:$W180)-2,)-OFFSET($B$5,SUM($W$6:$W180)-3,))+(OFFSET($B$5,SUM($W$6:$W180)-4,)-OFFSET($B$5,SUM($W$6:$W180)-5,))+(OFFSET($B$5,SUM($W$6:$W180)-6,)-OFFSET($B$5,SUM($W$6:$W180)-7,))+(OFFSET($B$5,SUM($W$6:$W180)-8,)-OFFSET($B$5,SUM($W$6:$W180)-9,))+(OFFSET($B$5,SUM($W$6:$W180)-10,)-OFFSET($B$5,SUM($W$6:$W180)-11,))</f>
        <v>#VALUE!</v>
      </c>
      <c r="AC180" s="439" t="e">
        <f ca="1">(OFFSET($B$5,SUM($W$6:$W180),)-OFFSET($B$5,SUM($W$6:$W180)-1,))+(OFFSET($B$5,SUM($W$6:$W180)-2,)-OFFSET($B$5,SUM($W$6:$W180)-3,))+(OFFSET($B$5,SUM($W$6:$W180)-4,)-OFFSET($B$5,SUM($W$6:$W180)-5,))+(OFFSET($B$5,SUM($W$6:$W180)-6,)-OFFSET($B$5,SUM($W$6:$W180)-7,))+(OFFSET($B$5,SUM($W$6:$W180)-8,)-OFFSET($B$5,SUM($W$6:$W180)-9,))</f>
        <v>#VALUE!</v>
      </c>
      <c r="AD180" s="439" t="e">
        <f ca="1">(OFFSET($B$5,SUM($W$6:$W180),)-OFFSET($B$5,SUM($W$6:$W180)-1,))+(OFFSET($B$5,SUM($W$6:$W180)-2,)-OFFSET($B$5,SUM($W$6:$W180)-3,))+(OFFSET($B$5,SUM($W$6:$W180)-4,)-OFFSET($B$5,SUM($W$6:$W180)-5,))+(OFFSET($B$5,SUM($W$6:$W180)-6,)-OFFSET($B$5,SUM($W$6:$W180)-7,))</f>
        <v>#VALUE!</v>
      </c>
      <c r="AE180" s="439" t="e">
        <f ca="1">(OFFSET($B$5,SUM($W$6:$W180),)-OFFSET($B$5,SUM($W$6:$W180)-1,))+(OFFSET($B$5,SUM($W$6:$W180)-2,)-OFFSET($B$5,SUM($W$6:$W180)-3,))+(OFFSET($B$5,SUM($W$6:$W180)-4,)-OFFSET($B$5,SUM($W$6:$W180)-5,))</f>
        <v>#VALUE!</v>
      </c>
      <c r="AF180" s="439" t="e">
        <f ca="1">(OFFSET($B$5,SUM($W$6:$W180),)-OFFSET($B$5,SUM($W$6:$W180)-1,))+(OFFSET($B$5,SUM($W$6:$W180)-2,)-OFFSET($B$5,SUM($W$6:$W180)-3,))</f>
        <v>#VALUE!</v>
      </c>
      <c r="AG180" s="439" t="e">
        <f ca="1">(OFFSET($B$5,SUM($W$6:$W180),)-OFFSET($B$5,SUM($W$6:$W180)-1,))</f>
        <v>#VALUE!</v>
      </c>
      <c r="AH180" s="439" t="e">
        <f ca="1">(OFFSET($B$5,SUM($W$6:$W180)-1,)-OFFSET($B$5,SUM($W$6:$W180)-2,))+(OFFSET($B$5,SUM($W$6:$W180)-3,)-OFFSET($B$5,SUM($W$6:$W180)-4,))+(OFFSET($B$5,SUM($W$6:$W180)-5,)-OFFSET($B$5,SUM($W$6:$W180)-6,))+(OFFSET($B$5,SUM($W$6:$W180)-7,)-OFFSET($B$5,SUM($W$6:$W180)-8,))+(OFFSET($B$5,SUM($W$6:$W180)-9,)-OFFSET($B$5,SUM($W$6:$W180)-10,))</f>
        <v>#REF!</v>
      </c>
      <c r="AI180" s="439" t="e">
        <f ca="1">(OFFSET($B$5,SUM($W$6:$W180)-1,)-OFFSET($B$5,SUM($W$6:$W180)-2,))+(OFFSET($B$5,SUM($W$6:$W180)-3,)-OFFSET($B$5,SUM($W$6:$W180)-4,))+(OFFSET($B$5,SUM($W$6:$W180)-5,)-OFFSET($B$5,SUM($W$6:$W180)-6,))+(OFFSET($B$5,SUM($W$6:$W180)-7,)-OFFSET($B$5,SUM($W$6:$W180)-8,))</f>
        <v>#REF!</v>
      </c>
      <c r="AJ180" s="439" t="e">
        <f ca="1">(OFFSET($B$5,SUM($W$6:$W180)-1,)-OFFSET($B$5,SUM($W$6:$W180)-2,))+(OFFSET($B$5,SUM($W$6:$W180)-3,)-OFFSET($B$5,SUM($W$6:$W180)-4,))+(OFFSET($B$5,SUM($W$6:$W180)-5,)-OFFSET($B$5,SUM($W$6:$W180)-6,))</f>
        <v>#REF!</v>
      </c>
      <c r="AK180" s="439">
        <f ca="1">(OFFSET($B$5,SUM($W$6:$W180)-1,)-OFFSET($B$5,SUM($W$6:$W180)-2,))+(OFFSET($B$5,SUM($W$6:$W180)-3,)-OFFSET($B$5,SUM($W$6:$W180)-4,))</f>
        <v>0</v>
      </c>
      <c r="AL180" s="439">
        <f ca="1">(OFFSET($B$5,SUM($W$6:$W180)-1,)-OFFSET($B$5,SUM($W$6:$W180)-2,))</f>
        <v>0</v>
      </c>
      <c r="AM180" s="433">
        <v>7.25</v>
      </c>
    </row>
    <row r="181" spans="6:39" x14ac:dyDescent="0.25">
      <c r="F181" s="378">
        <v>44552</v>
      </c>
      <c r="G181" s="370">
        <f t="shared" si="112"/>
        <v>44552</v>
      </c>
      <c r="H181" s="388">
        <f t="shared" si="123"/>
        <v>0</v>
      </c>
      <c r="I181" s="388">
        <f t="shared" ca="1" si="124"/>
        <v>-0.33333333333333331</v>
      </c>
      <c r="J181" s="386">
        <f ca="1">I181+J180</f>
        <v>-5.6666666666666652</v>
      </c>
      <c r="K181" s="164"/>
      <c r="L181" s="60"/>
      <c r="T181" s="438">
        <f t="shared" si="115"/>
        <v>0</v>
      </c>
      <c r="U181" s="439" t="b">
        <f t="shared" si="116"/>
        <v>0</v>
      </c>
      <c r="V181" s="440" t="b">
        <f t="shared" si="117"/>
        <v>0</v>
      </c>
      <c r="W181" s="437">
        <f t="shared" si="118"/>
        <v>0</v>
      </c>
      <c r="X181" s="439">
        <f t="shared" si="93"/>
        <v>0</v>
      </c>
      <c r="Y181" s="439">
        <f t="shared" si="94"/>
        <v>0</v>
      </c>
      <c r="Z181" s="439">
        <f t="shared" si="111"/>
        <v>0</v>
      </c>
      <c r="AA181" s="439" t="e">
        <f ca="1">(OFFSET($B$5,SUM($W$6:$W181),)-OFFSET($B$5,(SUM($W$6:$W181)-SUM($W181:$W181)+1),))</f>
        <v>#VALUE!</v>
      </c>
      <c r="AB181" s="439" t="e">
        <f ca="1">(OFFSET($B$5,SUM($W$6:$W181),)-OFFSET($B$5,SUM($W$6:$W181)-1,))+(OFFSET($B$5,SUM($W$6:$W181)-2,)-OFFSET($B$5,SUM($W$6:$W181)-3,))+(OFFSET($B$5,SUM($W$6:$W181)-4,)-OFFSET($B$5,SUM($W$6:$W181)-5,))+(OFFSET($B$5,SUM($W$6:$W181)-6,)-OFFSET($B$5,SUM($W$6:$W181)-7,))+(OFFSET($B$5,SUM($W$6:$W181)-8,)-OFFSET($B$5,SUM($W$6:$W181)-9,))+(OFFSET($B$5,SUM($W$6:$W181)-10,)-OFFSET($B$5,SUM($W$6:$W181)-11,))</f>
        <v>#VALUE!</v>
      </c>
      <c r="AC181" s="439" t="e">
        <f ca="1">(OFFSET($B$5,SUM($W$6:$W181),)-OFFSET($B$5,SUM($W$6:$W181)-1,))+(OFFSET($B$5,SUM($W$6:$W181)-2,)-OFFSET($B$5,SUM($W$6:$W181)-3,))+(OFFSET($B$5,SUM($W$6:$W181)-4,)-OFFSET($B$5,SUM($W$6:$W181)-5,))+(OFFSET($B$5,SUM($W$6:$W181)-6,)-OFFSET($B$5,SUM($W$6:$W181)-7,))+(OFFSET($B$5,SUM($W$6:$W181)-8,)-OFFSET($B$5,SUM($W$6:$W181)-9,))</f>
        <v>#VALUE!</v>
      </c>
      <c r="AD181" s="439" t="e">
        <f ca="1">(OFFSET($B$5,SUM($W$6:$W181),)-OFFSET($B$5,SUM($W$6:$W181)-1,))+(OFFSET($B$5,SUM($W$6:$W181)-2,)-OFFSET($B$5,SUM($W$6:$W181)-3,))+(OFFSET($B$5,SUM($W$6:$W181)-4,)-OFFSET($B$5,SUM($W$6:$W181)-5,))+(OFFSET($B$5,SUM($W$6:$W181)-6,)-OFFSET($B$5,SUM($W$6:$W181)-7,))</f>
        <v>#VALUE!</v>
      </c>
      <c r="AE181" s="439" t="e">
        <f ca="1">(OFFSET($B$5,SUM($W$6:$W181),)-OFFSET($B$5,SUM($W$6:$W181)-1,))+(OFFSET($B$5,SUM($W$6:$W181)-2,)-OFFSET($B$5,SUM($W$6:$W181)-3,))+(OFFSET($B$5,SUM($W$6:$W181)-4,)-OFFSET($B$5,SUM($W$6:$W181)-5,))</f>
        <v>#VALUE!</v>
      </c>
      <c r="AF181" s="439" t="e">
        <f ca="1">(OFFSET($B$5,SUM($W$6:$W181),)-OFFSET($B$5,SUM($W$6:$W181)-1,))+(OFFSET($B$5,SUM($W$6:$W181)-2,)-OFFSET($B$5,SUM($W$6:$W181)-3,))</f>
        <v>#VALUE!</v>
      </c>
      <c r="AG181" s="439" t="e">
        <f ca="1">(OFFSET($B$5,SUM($W$6:$W181),)-OFFSET($B$5,SUM($W$6:$W181)-1,))</f>
        <v>#VALUE!</v>
      </c>
      <c r="AH181" s="439" t="e">
        <f ca="1">(OFFSET($B$5,SUM($W$6:$W181)-1,)-OFFSET($B$5,SUM($W$6:$W181)-2,))+(OFFSET($B$5,SUM($W$6:$W181)-3,)-OFFSET($B$5,SUM($W$6:$W181)-4,))+(OFFSET($B$5,SUM($W$6:$W181)-5,)-OFFSET($B$5,SUM($W$6:$W181)-6,))+(OFFSET($B$5,SUM($W$6:$W181)-7,)-OFFSET($B$5,SUM($W$6:$W181)-8,))+(OFFSET($B$5,SUM($W$6:$W181)-9,)-OFFSET($B$5,SUM($W$6:$W181)-10,))</f>
        <v>#REF!</v>
      </c>
      <c r="AI181" s="439" t="e">
        <f ca="1">(OFFSET($B$5,SUM($W$6:$W181)-1,)-OFFSET($B$5,SUM($W$6:$W181)-2,))+(OFFSET($B$5,SUM($W$6:$W181)-3,)-OFFSET($B$5,SUM($W$6:$W181)-4,))+(OFFSET($B$5,SUM($W$6:$W181)-5,)-OFFSET($B$5,SUM($W$6:$W181)-6,))+(OFFSET($B$5,SUM($W$6:$W181)-7,)-OFFSET($B$5,SUM($W$6:$W181)-8,))</f>
        <v>#REF!</v>
      </c>
      <c r="AJ181" s="439" t="e">
        <f ca="1">(OFFSET($B$5,SUM($W$6:$W181)-1,)-OFFSET($B$5,SUM($W$6:$W181)-2,))+(OFFSET($B$5,SUM($W$6:$W181)-3,)-OFFSET($B$5,SUM($W$6:$W181)-4,))+(OFFSET($B$5,SUM($W$6:$W181)-5,)-OFFSET($B$5,SUM($W$6:$W181)-6,))</f>
        <v>#REF!</v>
      </c>
      <c r="AK181" s="439">
        <f ca="1">(OFFSET($B$5,SUM($W$6:$W181)-1,)-OFFSET($B$5,SUM($W$6:$W181)-2,))+(OFFSET($B$5,SUM($W$6:$W181)-3,)-OFFSET($B$5,SUM($W$6:$W181)-4,))</f>
        <v>0</v>
      </c>
      <c r="AL181" s="439">
        <f ca="1">(OFFSET($B$5,SUM($W$6:$W181)-1,)-OFFSET($B$5,SUM($W$6:$W181)-2,))</f>
        <v>0</v>
      </c>
      <c r="AM181" s="433">
        <v>7.2916666666666696</v>
      </c>
    </row>
    <row r="182" spans="6:39" x14ac:dyDescent="0.25">
      <c r="F182" s="378">
        <v>44553</v>
      </c>
      <c r="G182" s="370">
        <f t="shared" si="112"/>
        <v>44553</v>
      </c>
      <c r="H182" s="388">
        <f t="shared" si="123"/>
        <v>0</v>
      </c>
      <c r="I182" s="388">
        <f t="shared" ca="1" si="124"/>
        <v>-0.33333333333333331</v>
      </c>
      <c r="J182" s="386">
        <f t="shared" ref="J182:J184" ca="1" si="125">I182+J181</f>
        <v>-5.9999999999999982</v>
      </c>
      <c r="K182" s="164"/>
      <c r="L182" s="60"/>
      <c r="T182" s="438">
        <f t="shared" si="115"/>
        <v>0</v>
      </c>
      <c r="U182" s="439" t="b">
        <f t="shared" si="116"/>
        <v>0</v>
      </c>
      <c r="V182" s="440" t="b">
        <f t="shared" si="117"/>
        <v>0</v>
      </c>
      <c r="W182" s="437">
        <f t="shared" si="118"/>
        <v>0</v>
      </c>
      <c r="X182" s="439">
        <f t="shared" si="93"/>
        <v>0</v>
      </c>
      <c r="Y182" s="439">
        <f t="shared" si="94"/>
        <v>0</v>
      </c>
      <c r="Z182" s="439">
        <f t="shared" si="111"/>
        <v>0</v>
      </c>
      <c r="AA182" s="439" t="e">
        <f ca="1">(OFFSET($B$5,SUM($W$6:$W182),)-OFFSET($B$5,(SUM($W$6:$W182)-SUM($W182:$W182)+1),))</f>
        <v>#VALUE!</v>
      </c>
      <c r="AB182" s="439" t="e">
        <f ca="1">(OFFSET($B$5,SUM($W$6:$W182),)-OFFSET($B$5,SUM($W$6:$W182)-1,))+(OFFSET($B$5,SUM($W$6:$W182)-2,)-OFFSET($B$5,SUM($W$6:$W182)-3,))+(OFFSET($B$5,SUM($W$6:$W182)-4,)-OFFSET($B$5,SUM($W$6:$W182)-5,))+(OFFSET($B$5,SUM($W$6:$W182)-6,)-OFFSET($B$5,SUM($W$6:$W182)-7,))+(OFFSET($B$5,SUM($W$6:$W182)-8,)-OFFSET($B$5,SUM($W$6:$W182)-9,))+(OFFSET($B$5,SUM($W$6:$W182)-10,)-OFFSET($B$5,SUM($W$6:$W182)-11,))</f>
        <v>#VALUE!</v>
      </c>
      <c r="AC182" s="439" t="e">
        <f ca="1">(OFFSET($B$5,SUM($W$6:$W182),)-OFFSET($B$5,SUM($W$6:$W182)-1,))+(OFFSET($B$5,SUM($W$6:$W182)-2,)-OFFSET($B$5,SUM($W$6:$W182)-3,))+(OFFSET($B$5,SUM($W$6:$W182)-4,)-OFFSET($B$5,SUM($W$6:$W182)-5,))+(OFFSET($B$5,SUM($W$6:$W182)-6,)-OFFSET($B$5,SUM($W$6:$W182)-7,))+(OFFSET($B$5,SUM($W$6:$W182)-8,)-OFFSET($B$5,SUM($W$6:$W182)-9,))</f>
        <v>#VALUE!</v>
      </c>
      <c r="AD182" s="439" t="e">
        <f ca="1">(OFFSET($B$5,SUM($W$6:$W182),)-OFFSET($B$5,SUM($W$6:$W182)-1,))+(OFFSET($B$5,SUM($W$6:$W182)-2,)-OFFSET($B$5,SUM($W$6:$W182)-3,))+(OFFSET($B$5,SUM($W$6:$W182)-4,)-OFFSET($B$5,SUM($W$6:$W182)-5,))+(OFFSET($B$5,SUM($W$6:$W182)-6,)-OFFSET($B$5,SUM($W$6:$W182)-7,))</f>
        <v>#VALUE!</v>
      </c>
      <c r="AE182" s="439" t="e">
        <f ca="1">(OFFSET($B$5,SUM($W$6:$W182),)-OFFSET($B$5,SUM($W$6:$W182)-1,))+(OFFSET($B$5,SUM($W$6:$W182)-2,)-OFFSET($B$5,SUM($W$6:$W182)-3,))+(OFFSET($B$5,SUM($W$6:$W182)-4,)-OFFSET($B$5,SUM($W$6:$W182)-5,))</f>
        <v>#VALUE!</v>
      </c>
      <c r="AF182" s="439" t="e">
        <f ca="1">(OFFSET($B$5,SUM($W$6:$W182),)-OFFSET($B$5,SUM($W$6:$W182)-1,))+(OFFSET($B$5,SUM($W$6:$W182)-2,)-OFFSET($B$5,SUM($W$6:$W182)-3,))</f>
        <v>#VALUE!</v>
      </c>
      <c r="AG182" s="439" t="e">
        <f ca="1">(OFFSET($B$5,SUM($W$6:$W182),)-OFFSET($B$5,SUM($W$6:$W182)-1,))</f>
        <v>#VALUE!</v>
      </c>
      <c r="AH182" s="439" t="e">
        <f ca="1">(OFFSET($B$5,SUM($W$6:$W182)-1,)-OFFSET($B$5,SUM($W$6:$W182)-2,))+(OFFSET($B$5,SUM($W$6:$W182)-3,)-OFFSET($B$5,SUM($W$6:$W182)-4,))+(OFFSET($B$5,SUM($W$6:$W182)-5,)-OFFSET($B$5,SUM($W$6:$W182)-6,))+(OFFSET($B$5,SUM($W$6:$W182)-7,)-OFFSET($B$5,SUM($W$6:$W182)-8,))+(OFFSET($B$5,SUM($W$6:$W182)-9,)-OFFSET($B$5,SUM($W$6:$W182)-10,))</f>
        <v>#REF!</v>
      </c>
      <c r="AI182" s="439" t="e">
        <f ca="1">(OFFSET($B$5,SUM($W$6:$W182)-1,)-OFFSET($B$5,SUM($W$6:$W182)-2,))+(OFFSET($B$5,SUM($W$6:$W182)-3,)-OFFSET($B$5,SUM($W$6:$W182)-4,))+(OFFSET($B$5,SUM($W$6:$W182)-5,)-OFFSET($B$5,SUM($W$6:$W182)-6,))+(OFFSET($B$5,SUM($W$6:$W182)-7,)-OFFSET($B$5,SUM($W$6:$W182)-8,))</f>
        <v>#REF!</v>
      </c>
      <c r="AJ182" s="439" t="e">
        <f ca="1">(OFFSET($B$5,SUM($W$6:$W182)-1,)-OFFSET($B$5,SUM($W$6:$W182)-2,))+(OFFSET($B$5,SUM($W$6:$W182)-3,)-OFFSET($B$5,SUM($W$6:$W182)-4,))+(OFFSET($B$5,SUM($W$6:$W182)-5,)-OFFSET($B$5,SUM($W$6:$W182)-6,))</f>
        <v>#REF!</v>
      </c>
      <c r="AK182" s="439">
        <f ca="1">(OFFSET($B$5,SUM($W$6:$W182)-1,)-OFFSET($B$5,SUM($W$6:$W182)-2,))+(OFFSET($B$5,SUM($W$6:$W182)-3,)-OFFSET($B$5,SUM($W$6:$W182)-4,))</f>
        <v>0</v>
      </c>
      <c r="AL182" s="439">
        <f ca="1">(OFFSET($B$5,SUM($W$6:$W182)-1,)-OFFSET($B$5,SUM($W$6:$W182)-2,))</f>
        <v>0</v>
      </c>
      <c r="AM182" s="433">
        <v>7.3333333333333304</v>
      </c>
    </row>
    <row r="183" spans="6:39" x14ac:dyDescent="0.25">
      <c r="F183" s="378">
        <v>44554</v>
      </c>
      <c r="G183" s="370">
        <f t="shared" si="112"/>
        <v>44554</v>
      </c>
      <c r="H183" s="388">
        <f t="shared" si="123"/>
        <v>0</v>
      </c>
      <c r="I183" s="388">
        <f t="shared" ca="1" si="124"/>
        <v>-0.33333333333333331</v>
      </c>
      <c r="J183" s="386">
        <f t="shared" ca="1" si="125"/>
        <v>-6.3333333333333313</v>
      </c>
      <c r="K183" s="164"/>
      <c r="L183" s="60"/>
      <c r="T183" s="438">
        <f t="shared" si="115"/>
        <v>0</v>
      </c>
      <c r="U183" s="439" t="b">
        <f t="shared" si="116"/>
        <v>0</v>
      </c>
      <c r="V183" s="440" t="b">
        <f t="shared" si="117"/>
        <v>0</v>
      </c>
      <c r="W183" s="437">
        <f t="shared" si="118"/>
        <v>0</v>
      </c>
      <c r="X183" s="439">
        <f t="shared" si="93"/>
        <v>0</v>
      </c>
      <c r="Y183" s="439">
        <f t="shared" si="94"/>
        <v>0</v>
      </c>
      <c r="Z183" s="439">
        <f t="shared" si="111"/>
        <v>0</v>
      </c>
      <c r="AA183" s="439" t="e">
        <f ca="1">(OFFSET($B$5,SUM($W$6:$W183),)-OFFSET($B$5,(SUM($W$6:$W183)-SUM($W183:$W183)+1),))</f>
        <v>#VALUE!</v>
      </c>
      <c r="AB183" s="439" t="e">
        <f ca="1">(OFFSET($B$5,SUM($W$6:$W183),)-OFFSET($B$5,SUM($W$6:$W183)-1,))+(OFFSET($B$5,SUM($W$6:$W183)-2,)-OFFSET($B$5,SUM($W$6:$W183)-3,))+(OFFSET($B$5,SUM($W$6:$W183)-4,)-OFFSET($B$5,SUM($W$6:$W183)-5,))+(OFFSET($B$5,SUM($W$6:$W183)-6,)-OFFSET($B$5,SUM($W$6:$W183)-7,))+(OFFSET($B$5,SUM($W$6:$W183)-8,)-OFFSET($B$5,SUM($W$6:$W183)-9,))+(OFFSET($B$5,SUM($W$6:$W183)-10,)-OFFSET($B$5,SUM($W$6:$W183)-11,))</f>
        <v>#VALUE!</v>
      </c>
      <c r="AC183" s="439" t="e">
        <f ca="1">(OFFSET($B$5,SUM($W$6:$W183),)-OFFSET($B$5,SUM($W$6:$W183)-1,))+(OFFSET($B$5,SUM($W$6:$W183)-2,)-OFFSET($B$5,SUM($W$6:$W183)-3,))+(OFFSET($B$5,SUM($W$6:$W183)-4,)-OFFSET($B$5,SUM($W$6:$W183)-5,))+(OFFSET($B$5,SUM($W$6:$W183)-6,)-OFFSET($B$5,SUM($W$6:$W183)-7,))+(OFFSET($B$5,SUM($W$6:$W183)-8,)-OFFSET($B$5,SUM($W$6:$W183)-9,))</f>
        <v>#VALUE!</v>
      </c>
      <c r="AD183" s="439" t="e">
        <f ca="1">(OFFSET($B$5,SUM($W$6:$W183),)-OFFSET($B$5,SUM($W$6:$W183)-1,))+(OFFSET($B$5,SUM($W$6:$W183)-2,)-OFFSET($B$5,SUM($W$6:$W183)-3,))+(OFFSET($B$5,SUM($W$6:$W183)-4,)-OFFSET($B$5,SUM($W$6:$W183)-5,))+(OFFSET($B$5,SUM($W$6:$W183)-6,)-OFFSET($B$5,SUM($W$6:$W183)-7,))</f>
        <v>#VALUE!</v>
      </c>
      <c r="AE183" s="439" t="e">
        <f ca="1">(OFFSET($B$5,SUM($W$6:$W183),)-OFFSET($B$5,SUM($W$6:$W183)-1,))+(OFFSET($B$5,SUM($W$6:$W183)-2,)-OFFSET($B$5,SUM($W$6:$W183)-3,))+(OFFSET($B$5,SUM($W$6:$W183)-4,)-OFFSET($B$5,SUM($W$6:$W183)-5,))</f>
        <v>#VALUE!</v>
      </c>
      <c r="AF183" s="439" t="e">
        <f ca="1">(OFFSET($B$5,SUM($W$6:$W183),)-OFFSET($B$5,SUM($W$6:$W183)-1,))+(OFFSET($B$5,SUM($W$6:$W183)-2,)-OFFSET($B$5,SUM($W$6:$W183)-3,))</f>
        <v>#VALUE!</v>
      </c>
      <c r="AG183" s="439" t="e">
        <f ca="1">(OFFSET($B$5,SUM($W$6:$W183),)-OFFSET($B$5,SUM($W$6:$W183)-1,))</f>
        <v>#VALUE!</v>
      </c>
      <c r="AH183" s="439" t="e">
        <f ca="1">(OFFSET($B$5,SUM($W$6:$W183)-1,)-OFFSET($B$5,SUM($W$6:$W183)-2,))+(OFFSET($B$5,SUM($W$6:$W183)-3,)-OFFSET($B$5,SUM($W$6:$W183)-4,))+(OFFSET($B$5,SUM($W$6:$W183)-5,)-OFFSET($B$5,SUM($W$6:$W183)-6,))+(OFFSET($B$5,SUM($W$6:$W183)-7,)-OFFSET($B$5,SUM($W$6:$W183)-8,))+(OFFSET($B$5,SUM($W$6:$W183)-9,)-OFFSET($B$5,SUM($W$6:$W183)-10,))</f>
        <v>#REF!</v>
      </c>
      <c r="AI183" s="439" t="e">
        <f ca="1">(OFFSET($B$5,SUM($W$6:$W183)-1,)-OFFSET($B$5,SUM($W$6:$W183)-2,))+(OFFSET($B$5,SUM($W$6:$W183)-3,)-OFFSET($B$5,SUM($W$6:$W183)-4,))+(OFFSET($B$5,SUM($W$6:$W183)-5,)-OFFSET($B$5,SUM($W$6:$W183)-6,))+(OFFSET($B$5,SUM($W$6:$W183)-7,)-OFFSET($B$5,SUM($W$6:$W183)-8,))</f>
        <v>#REF!</v>
      </c>
      <c r="AJ183" s="439" t="e">
        <f ca="1">(OFFSET($B$5,SUM($W$6:$W183)-1,)-OFFSET($B$5,SUM($W$6:$W183)-2,))+(OFFSET($B$5,SUM($W$6:$W183)-3,)-OFFSET($B$5,SUM($W$6:$W183)-4,))+(OFFSET($B$5,SUM($W$6:$W183)-5,)-OFFSET($B$5,SUM($W$6:$W183)-6,))</f>
        <v>#REF!</v>
      </c>
      <c r="AK183" s="439">
        <f ca="1">(OFFSET($B$5,SUM($W$6:$W183)-1,)-OFFSET($B$5,SUM($W$6:$W183)-2,))+(OFFSET($B$5,SUM($W$6:$W183)-3,)-OFFSET($B$5,SUM($W$6:$W183)-4,))</f>
        <v>0</v>
      </c>
      <c r="AL183" s="439">
        <f ca="1">(OFFSET($B$5,SUM($W$6:$W183)-1,)-OFFSET($B$5,SUM($W$6:$W183)-2,))</f>
        <v>0</v>
      </c>
      <c r="AM183" s="433">
        <v>7.375</v>
      </c>
    </row>
    <row r="184" spans="6:39" x14ac:dyDescent="0.25">
      <c r="F184" s="378">
        <v>44555</v>
      </c>
      <c r="G184" s="370">
        <f t="shared" si="112"/>
        <v>44555</v>
      </c>
      <c r="H184" s="388">
        <f t="shared" si="123"/>
        <v>0</v>
      </c>
      <c r="I184" s="388">
        <f t="shared" ca="1" si="124"/>
        <v>-0.33333333333333331</v>
      </c>
      <c r="J184" s="386">
        <f t="shared" ca="1" si="125"/>
        <v>-6.6666666666666643</v>
      </c>
      <c r="K184" s="164"/>
      <c r="L184" s="60"/>
      <c r="T184" s="438">
        <f t="shared" si="115"/>
        <v>0</v>
      </c>
      <c r="U184" s="439" t="b">
        <f t="shared" si="116"/>
        <v>0</v>
      </c>
      <c r="V184" s="440" t="b">
        <f t="shared" si="117"/>
        <v>0</v>
      </c>
      <c r="W184" s="437">
        <f t="shared" si="118"/>
        <v>0</v>
      </c>
      <c r="X184" s="439">
        <f t="shared" si="93"/>
        <v>0</v>
      </c>
      <c r="Y184" s="439">
        <f t="shared" si="94"/>
        <v>0</v>
      </c>
      <c r="Z184" s="439">
        <f t="shared" si="111"/>
        <v>0</v>
      </c>
      <c r="AA184" s="439" t="e">
        <f ca="1">(OFFSET($B$5,SUM($W$6:$W184),)-OFFSET($B$5,(SUM($W$6:$W184)-SUM($W184:$W184)+1),))</f>
        <v>#VALUE!</v>
      </c>
      <c r="AB184" s="439" t="e">
        <f ca="1">(OFFSET($B$5,SUM($W$6:$W184),)-OFFSET($B$5,SUM($W$6:$W184)-1,))+(OFFSET($B$5,SUM($W$6:$W184)-2,)-OFFSET($B$5,SUM($W$6:$W184)-3,))+(OFFSET($B$5,SUM($W$6:$W184)-4,)-OFFSET($B$5,SUM($W$6:$W184)-5,))+(OFFSET($B$5,SUM($W$6:$W184)-6,)-OFFSET($B$5,SUM($W$6:$W184)-7,))+(OFFSET($B$5,SUM($W$6:$W184)-8,)-OFFSET($B$5,SUM($W$6:$W184)-9,))+(OFFSET($B$5,SUM($W$6:$W184)-10,)-OFFSET($B$5,SUM($W$6:$W184)-11,))</f>
        <v>#VALUE!</v>
      </c>
      <c r="AC184" s="439" t="e">
        <f ca="1">(OFFSET($B$5,SUM($W$6:$W184),)-OFFSET($B$5,SUM($W$6:$W184)-1,))+(OFFSET($B$5,SUM($W$6:$W184)-2,)-OFFSET($B$5,SUM($W$6:$W184)-3,))+(OFFSET($B$5,SUM($W$6:$W184)-4,)-OFFSET($B$5,SUM($W$6:$W184)-5,))+(OFFSET($B$5,SUM($W$6:$W184)-6,)-OFFSET($B$5,SUM($W$6:$W184)-7,))+(OFFSET($B$5,SUM($W$6:$W184)-8,)-OFFSET($B$5,SUM($W$6:$W184)-9,))</f>
        <v>#VALUE!</v>
      </c>
      <c r="AD184" s="439" t="e">
        <f ca="1">(OFFSET($B$5,SUM($W$6:$W184),)-OFFSET($B$5,SUM($W$6:$W184)-1,))+(OFFSET($B$5,SUM($W$6:$W184)-2,)-OFFSET($B$5,SUM($W$6:$W184)-3,))+(OFFSET($B$5,SUM($W$6:$W184)-4,)-OFFSET($B$5,SUM($W$6:$W184)-5,))+(OFFSET($B$5,SUM($W$6:$W184)-6,)-OFFSET($B$5,SUM($W$6:$W184)-7,))</f>
        <v>#VALUE!</v>
      </c>
      <c r="AE184" s="439" t="e">
        <f ca="1">(OFFSET($B$5,SUM($W$6:$W184),)-OFFSET($B$5,SUM($W$6:$W184)-1,))+(OFFSET($B$5,SUM($W$6:$W184)-2,)-OFFSET($B$5,SUM($W$6:$W184)-3,))+(OFFSET($B$5,SUM($W$6:$W184)-4,)-OFFSET($B$5,SUM($W$6:$W184)-5,))</f>
        <v>#VALUE!</v>
      </c>
      <c r="AF184" s="439" t="e">
        <f ca="1">(OFFSET($B$5,SUM($W$6:$W184),)-OFFSET($B$5,SUM($W$6:$W184)-1,))+(OFFSET($B$5,SUM($W$6:$W184)-2,)-OFFSET($B$5,SUM($W$6:$W184)-3,))</f>
        <v>#VALUE!</v>
      </c>
      <c r="AG184" s="439" t="e">
        <f ca="1">(OFFSET($B$5,SUM($W$6:$W184),)-OFFSET($B$5,SUM($W$6:$W184)-1,))</f>
        <v>#VALUE!</v>
      </c>
      <c r="AH184" s="439" t="e">
        <f ca="1">(OFFSET($B$5,SUM($W$6:$W184)-1,)-OFFSET($B$5,SUM($W$6:$W184)-2,))+(OFFSET($B$5,SUM($W$6:$W184)-3,)-OFFSET($B$5,SUM($W$6:$W184)-4,))+(OFFSET($B$5,SUM($W$6:$W184)-5,)-OFFSET($B$5,SUM($W$6:$W184)-6,))+(OFFSET($B$5,SUM($W$6:$W184)-7,)-OFFSET($B$5,SUM($W$6:$W184)-8,))+(OFFSET($B$5,SUM($W$6:$W184)-9,)-OFFSET($B$5,SUM($W$6:$W184)-10,))</f>
        <v>#REF!</v>
      </c>
      <c r="AI184" s="439" t="e">
        <f ca="1">(OFFSET($B$5,SUM($W$6:$W184)-1,)-OFFSET($B$5,SUM($W$6:$W184)-2,))+(OFFSET($B$5,SUM($W$6:$W184)-3,)-OFFSET($B$5,SUM($W$6:$W184)-4,))+(OFFSET($B$5,SUM($W$6:$W184)-5,)-OFFSET($B$5,SUM($W$6:$W184)-6,))+(OFFSET($B$5,SUM($W$6:$W184)-7,)-OFFSET($B$5,SUM($W$6:$W184)-8,))</f>
        <v>#REF!</v>
      </c>
      <c r="AJ184" s="439" t="e">
        <f ca="1">(OFFSET($B$5,SUM($W$6:$W184)-1,)-OFFSET($B$5,SUM($W$6:$W184)-2,))+(OFFSET($B$5,SUM($W$6:$W184)-3,)-OFFSET($B$5,SUM($W$6:$W184)-4,))+(OFFSET($B$5,SUM($W$6:$W184)-5,)-OFFSET($B$5,SUM($W$6:$W184)-6,))</f>
        <v>#REF!</v>
      </c>
      <c r="AK184" s="439">
        <f ca="1">(OFFSET($B$5,SUM($W$6:$W184)-1,)-OFFSET($B$5,SUM($W$6:$W184)-2,))+(OFFSET($B$5,SUM($W$6:$W184)-3,)-OFFSET($B$5,SUM($W$6:$W184)-4,))</f>
        <v>0</v>
      </c>
      <c r="AL184" s="439">
        <f ca="1">(OFFSET($B$5,SUM($W$6:$W184)-1,)-OFFSET($B$5,SUM($W$6:$W184)-2,))</f>
        <v>0</v>
      </c>
      <c r="AM184" s="433">
        <v>7.4166666666666696</v>
      </c>
    </row>
    <row r="185" spans="6:39" x14ac:dyDescent="0.25">
      <c r="F185" s="378">
        <v>44556</v>
      </c>
      <c r="G185" s="404">
        <f t="shared" si="112"/>
        <v>44556</v>
      </c>
      <c r="H185" s="389"/>
      <c r="I185" s="389"/>
      <c r="J185" s="389"/>
      <c r="K185" s="164"/>
      <c r="L185" s="60"/>
      <c r="T185" s="438">
        <f t="shared" si="115"/>
        <v>0</v>
      </c>
      <c r="U185" s="439" t="b">
        <f t="shared" si="116"/>
        <v>0</v>
      </c>
      <c r="V185" s="440" t="b">
        <f t="shared" si="117"/>
        <v>0</v>
      </c>
      <c r="W185" s="437">
        <f t="shared" si="118"/>
        <v>0</v>
      </c>
      <c r="X185" s="439">
        <f t="shared" si="93"/>
        <v>0</v>
      </c>
      <c r="Y185" s="439">
        <f t="shared" si="94"/>
        <v>0</v>
      </c>
      <c r="Z185" s="439">
        <f t="shared" si="111"/>
        <v>0</v>
      </c>
      <c r="AA185" s="439" t="e">
        <f ca="1">(OFFSET($B$5,SUM($W$6:$W185),)-OFFSET($B$5,(SUM($W$6:$W185)-SUM($W185:$W185)+1),))</f>
        <v>#VALUE!</v>
      </c>
      <c r="AB185" s="439" t="e">
        <f ca="1">(OFFSET($B$5,SUM($W$6:$W185),)-OFFSET($B$5,SUM($W$6:$W185)-1,))+(OFFSET($B$5,SUM($W$6:$W185)-2,)-OFFSET($B$5,SUM($W$6:$W185)-3,))+(OFFSET($B$5,SUM($W$6:$W185)-4,)-OFFSET($B$5,SUM($W$6:$W185)-5,))+(OFFSET($B$5,SUM($W$6:$W185)-6,)-OFFSET($B$5,SUM($W$6:$W185)-7,))+(OFFSET($B$5,SUM($W$6:$W185)-8,)-OFFSET($B$5,SUM($W$6:$W185)-9,))+(OFFSET($B$5,SUM($W$6:$W185)-10,)-OFFSET($B$5,SUM($W$6:$W185)-11,))</f>
        <v>#VALUE!</v>
      </c>
      <c r="AC185" s="439" t="e">
        <f ca="1">(OFFSET($B$5,SUM($W$6:$W185),)-OFFSET($B$5,SUM($W$6:$W185)-1,))+(OFFSET($B$5,SUM($W$6:$W185)-2,)-OFFSET($B$5,SUM($W$6:$W185)-3,))+(OFFSET($B$5,SUM($W$6:$W185)-4,)-OFFSET($B$5,SUM($W$6:$W185)-5,))+(OFFSET($B$5,SUM($W$6:$W185)-6,)-OFFSET($B$5,SUM($W$6:$W185)-7,))+(OFFSET($B$5,SUM($W$6:$W185)-8,)-OFFSET($B$5,SUM($W$6:$W185)-9,))</f>
        <v>#VALUE!</v>
      </c>
      <c r="AD185" s="439" t="e">
        <f ca="1">(OFFSET($B$5,SUM($W$6:$W185),)-OFFSET($B$5,SUM($W$6:$W185)-1,))+(OFFSET($B$5,SUM($W$6:$W185)-2,)-OFFSET($B$5,SUM($W$6:$W185)-3,))+(OFFSET($B$5,SUM($W$6:$W185)-4,)-OFFSET($B$5,SUM($W$6:$W185)-5,))+(OFFSET($B$5,SUM($W$6:$W185)-6,)-OFFSET($B$5,SUM($W$6:$W185)-7,))</f>
        <v>#VALUE!</v>
      </c>
      <c r="AE185" s="439" t="e">
        <f ca="1">(OFFSET($B$5,SUM($W$6:$W185),)-OFFSET($B$5,SUM($W$6:$W185)-1,))+(OFFSET($B$5,SUM($W$6:$W185)-2,)-OFFSET($B$5,SUM($W$6:$W185)-3,))+(OFFSET($B$5,SUM($W$6:$W185)-4,)-OFFSET($B$5,SUM($W$6:$W185)-5,))</f>
        <v>#VALUE!</v>
      </c>
      <c r="AF185" s="439" t="e">
        <f ca="1">(OFFSET($B$5,SUM($W$6:$W185),)-OFFSET($B$5,SUM($W$6:$W185)-1,))+(OFFSET($B$5,SUM($W$6:$W185)-2,)-OFFSET($B$5,SUM($W$6:$W185)-3,))</f>
        <v>#VALUE!</v>
      </c>
      <c r="AG185" s="439" t="e">
        <f ca="1">(OFFSET($B$5,SUM($W$6:$W185),)-OFFSET($B$5,SUM($W$6:$W185)-1,))</f>
        <v>#VALUE!</v>
      </c>
      <c r="AH185" s="439" t="e">
        <f ca="1">(OFFSET($B$5,SUM($W$6:$W185)-1,)-OFFSET($B$5,SUM($W$6:$W185)-2,))+(OFFSET($B$5,SUM($W$6:$W185)-3,)-OFFSET($B$5,SUM($W$6:$W185)-4,))+(OFFSET($B$5,SUM($W$6:$W185)-5,)-OFFSET($B$5,SUM($W$6:$W185)-6,))+(OFFSET($B$5,SUM($W$6:$W185)-7,)-OFFSET($B$5,SUM($W$6:$W185)-8,))+(OFFSET($B$5,SUM($W$6:$W185)-9,)-OFFSET($B$5,SUM($W$6:$W185)-10,))</f>
        <v>#REF!</v>
      </c>
      <c r="AI185" s="439" t="e">
        <f ca="1">(OFFSET($B$5,SUM($W$6:$W185)-1,)-OFFSET($B$5,SUM($W$6:$W185)-2,))+(OFFSET($B$5,SUM($W$6:$W185)-3,)-OFFSET($B$5,SUM($W$6:$W185)-4,))+(OFFSET($B$5,SUM($W$6:$W185)-5,)-OFFSET($B$5,SUM($W$6:$W185)-6,))+(OFFSET($B$5,SUM($W$6:$W185)-7,)-OFFSET($B$5,SUM($W$6:$W185)-8,))</f>
        <v>#REF!</v>
      </c>
      <c r="AJ185" s="439" t="e">
        <f ca="1">(OFFSET($B$5,SUM($W$6:$W185)-1,)-OFFSET($B$5,SUM($W$6:$W185)-2,))+(OFFSET($B$5,SUM($W$6:$W185)-3,)-OFFSET($B$5,SUM($W$6:$W185)-4,))+(OFFSET($B$5,SUM($W$6:$W185)-5,)-OFFSET($B$5,SUM($W$6:$W185)-6,))</f>
        <v>#REF!</v>
      </c>
      <c r="AK185" s="439">
        <f ca="1">(OFFSET($B$5,SUM($W$6:$W185)-1,)-OFFSET($B$5,SUM($W$6:$W185)-2,))+(OFFSET($B$5,SUM($W$6:$W185)-3,)-OFFSET($B$5,SUM($W$6:$W185)-4,))</f>
        <v>0</v>
      </c>
      <c r="AL185" s="439">
        <f ca="1">(OFFSET($B$5,SUM($W$6:$W185)-1,)-OFFSET($B$5,SUM($W$6:$W185)-2,))</f>
        <v>0</v>
      </c>
      <c r="AM185" s="433">
        <v>7.4583333333333304</v>
      </c>
    </row>
    <row r="186" spans="6:39" x14ac:dyDescent="0.25">
      <c r="F186" s="378">
        <v>44557</v>
      </c>
      <c r="G186" s="404">
        <f t="shared" si="112"/>
        <v>44557</v>
      </c>
      <c r="H186" s="389"/>
      <c r="I186" s="389"/>
      <c r="J186" s="389"/>
      <c r="K186" s="164"/>
      <c r="L186" s="60"/>
      <c r="T186" s="438">
        <f t="shared" si="115"/>
        <v>0</v>
      </c>
      <c r="U186" s="439" t="b">
        <f t="shared" si="116"/>
        <v>0</v>
      </c>
      <c r="V186" s="440" t="b">
        <f t="shared" si="117"/>
        <v>0</v>
      </c>
      <c r="W186" s="437">
        <f t="shared" si="118"/>
        <v>0</v>
      </c>
      <c r="X186" s="439">
        <f t="shared" si="93"/>
        <v>0</v>
      </c>
      <c r="Y186" s="439">
        <f t="shared" si="94"/>
        <v>0</v>
      </c>
      <c r="Z186" s="439">
        <f t="shared" si="111"/>
        <v>0</v>
      </c>
      <c r="AA186" s="439" t="e">
        <f ca="1">(OFFSET($B$5,SUM($W$6:$W186),)-OFFSET($B$5,(SUM($W$6:$W186)-SUM($W186:$W186)+1),))</f>
        <v>#VALUE!</v>
      </c>
      <c r="AB186" s="439" t="e">
        <f ca="1">(OFFSET($B$5,SUM($W$6:$W186),)-OFFSET($B$5,SUM($W$6:$W186)-1,))+(OFFSET($B$5,SUM($W$6:$W186)-2,)-OFFSET($B$5,SUM($W$6:$W186)-3,))+(OFFSET($B$5,SUM($W$6:$W186)-4,)-OFFSET($B$5,SUM($W$6:$W186)-5,))+(OFFSET($B$5,SUM($W$6:$W186)-6,)-OFFSET($B$5,SUM($W$6:$W186)-7,))+(OFFSET($B$5,SUM($W$6:$W186)-8,)-OFFSET($B$5,SUM($W$6:$W186)-9,))+(OFFSET($B$5,SUM($W$6:$W186)-10,)-OFFSET($B$5,SUM($W$6:$W186)-11,))</f>
        <v>#VALUE!</v>
      </c>
      <c r="AC186" s="439" t="e">
        <f ca="1">(OFFSET($B$5,SUM($W$6:$W186),)-OFFSET($B$5,SUM($W$6:$W186)-1,))+(OFFSET($B$5,SUM($W$6:$W186)-2,)-OFFSET($B$5,SUM($W$6:$W186)-3,))+(OFFSET($B$5,SUM($W$6:$W186)-4,)-OFFSET($B$5,SUM($W$6:$W186)-5,))+(OFFSET($B$5,SUM($W$6:$W186)-6,)-OFFSET($B$5,SUM($W$6:$W186)-7,))+(OFFSET($B$5,SUM($W$6:$W186)-8,)-OFFSET($B$5,SUM($W$6:$W186)-9,))</f>
        <v>#VALUE!</v>
      </c>
      <c r="AD186" s="439" t="e">
        <f ca="1">(OFFSET($B$5,SUM($W$6:$W186),)-OFFSET($B$5,SUM($W$6:$W186)-1,))+(OFFSET($B$5,SUM($W$6:$W186)-2,)-OFFSET($B$5,SUM($W$6:$W186)-3,))+(OFFSET($B$5,SUM($W$6:$W186)-4,)-OFFSET($B$5,SUM($W$6:$W186)-5,))+(OFFSET($B$5,SUM($W$6:$W186)-6,)-OFFSET($B$5,SUM($W$6:$W186)-7,))</f>
        <v>#VALUE!</v>
      </c>
      <c r="AE186" s="439" t="e">
        <f ca="1">(OFFSET($B$5,SUM($W$6:$W186),)-OFFSET($B$5,SUM($W$6:$W186)-1,))+(OFFSET($B$5,SUM($W$6:$W186)-2,)-OFFSET($B$5,SUM($W$6:$W186)-3,))+(OFFSET($B$5,SUM($W$6:$W186)-4,)-OFFSET($B$5,SUM($W$6:$W186)-5,))</f>
        <v>#VALUE!</v>
      </c>
      <c r="AF186" s="439" t="e">
        <f ca="1">(OFFSET($B$5,SUM($W$6:$W186),)-OFFSET($B$5,SUM($W$6:$W186)-1,))+(OFFSET($B$5,SUM($W$6:$W186)-2,)-OFFSET($B$5,SUM($W$6:$W186)-3,))</f>
        <v>#VALUE!</v>
      </c>
      <c r="AG186" s="439" t="e">
        <f ca="1">(OFFSET($B$5,SUM($W$6:$W186),)-OFFSET($B$5,SUM($W$6:$W186)-1,))</f>
        <v>#VALUE!</v>
      </c>
      <c r="AH186" s="439" t="e">
        <f ca="1">(OFFSET($B$5,SUM($W$6:$W186)-1,)-OFFSET($B$5,SUM($W$6:$W186)-2,))+(OFFSET($B$5,SUM($W$6:$W186)-3,)-OFFSET($B$5,SUM($W$6:$W186)-4,))+(OFFSET($B$5,SUM($W$6:$W186)-5,)-OFFSET($B$5,SUM($W$6:$W186)-6,))+(OFFSET($B$5,SUM($W$6:$W186)-7,)-OFFSET($B$5,SUM($W$6:$W186)-8,))+(OFFSET($B$5,SUM($W$6:$W186)-9,)-OFFSET($B$5,SUM($W$6:$W186)-10,))</f>
        <v>#REF!</v>
      </c>
      <c r="AI186" s="439" t="e">
        <f ca="1">(OFFSET($B$5,SUM($W$6:$W186)-1,)-OFFSET($B$5,SUM($W$6:$W186)-2,))+(OFFSET($B$5,SUM($W$6:$W186)-3,)-OFFSET($B$5,SUM($W$6:$W186)-4,))+(OFFSET($B$5,SUM($W$6:$W186)-5,)-OFFSET($B$5,SUM($W$6:$W186)-6,))+(OFFSET($B$5,SUM($W$6:$W186)-7,)-OFFSET($B$5,SUM($W$6:$W186)-8,))</f>
        <v>#REF!</v>
      </c>
      <c r="AJ186" s="439" t="e">
        <f ca="1">(OFFSET($B$5,SUM($W$6:$W186)-1,)-OFFSET($B$5,SUM($W$6:$W186)-2,))+(OFFSET($B$5,SUM($W$6:$W186)-3,)-OFFSET($B$5,SUM($W$6:$W186)-4,))+(OFFSET($B$5,SUM($W$6:$W186)-5,)-OFFSET($B$5,SUM($W$6:$W186)-6,))</f>
        <v>#REF!</v>
      </c>
      <c r="AK186" s="439">
        <f ca="1">(OFFSET($B$5,SUM($W$6:$W186)-1,)-OFFSET($B$5,SUM($W$6:$W186)-2,))+(OFFSET($B$5,SUM($W$6:$W186)-3,)-OFFSET($B$5,SUM($W$6:$W186)-4,))</f>
        <v>0</v>
      </c>
      <c r="AL186" s="439">
        <f ca="1">(OFFSET($B$5,SUM($W$6:$W186)-1,)-OFFSET($B$5,SUM($W$6:$W186)-2,))</f>
        <v>0</v>
      </c>
      <c r="AM186" s="433">
        <v>7.5</v>
      </c>
    </row>
    <row r="187" spans="6:39" x14ac:dyDescent="0.25">
      <c r="F187" s="378">
        <v>44558</v>
      </c>
      <c r="G187" s="370">
        <f t="shared" si="112"/>
        <v>44558</v>
      </c>
      <c r="H187" s="388">
        <f t="shared" ref="H187:H188" si="126">X187</f>
        <v>0</v>
      </c>
      <c r="I187" s="388">
        <f t="shared" ref="I187:I188" ca="1" si="127">IFERROR(H187+T187+OFFSET($L$160,MATCH(F187,$K$161:$K$190,0),0)-$W$2,H187-$W$2)</f>
        <v>-0.33333333333333331</v>
      </c>
      <c r="J187" s="386">
        <f ca="1">I187+J184</f>
        <v>-6.9999999999999973</v>
      </c>
      <c r="K187" s="164"/>
      <c r="L187" s="60"/>
      <c r="T187" s="438">
        <f t="shared" si="115"/>
        <v>0</v>
      </c>
      <c r="U187" s="439" t="b">
        <f t="shared" si="116"/>
        <v>0</v>
      </c>
      <c r="V187" s="440" t="b">
        <f t="shared" si="117"/>
        <v>0</v>
      </c>
      <c r="W187" s="437">
        <f t="shared" si="118"/>
        <v>0</v>
      </c>
      <c r="X187" s="439">
        <f t="shared" si="93"/>
        <v>0</v>
      </c>
      <c r="Y187" s="439">
        <f t="shared" si="94"/>
        <v>0</v>
      </c>
      <c r="Z187" s="439">
        <f t="shared" si="111"/>
        <v>0</v>
      </c>
      <c r="AA187" s="439" t="e">
        <f ca="1">(OFFSET($B$5,SUM($W$6:$W187),)-OFFSET($B$5,(SUM($W$6:$W187)-SUM($W187:$W187)+1),))</f>
        <v>#VALUE!</v>
      </c>
      <c r="AB187" s="439" t="e">
        <f ca="1">(OFFSET($B$5,SUM($W$6:$W187),)-OFFSET($B$5,SUM($W$6:$W187)-1,))+(OFFSET($B$5,SUM($W$6:$W187)-2,)-OFFSET($B$5,SUM($W$6:$W187)-3,))+(OFFSET($B$5,SUM($W$6:$W187)-4,)-OFFSET($B$5,SUM($W$6:$W187)-5,))+(OFFSET($B$5,SUM($W$6:$W187)-6,)-OFFSET($B$5,SUM($W$6:$W187)-7,))+(OFFSET($B$5,SUM($W$6:$W187)-8,)-OFFSET($B$5,SUM($W$6:$W187)-9,))+(OFFSET($B$5,SUM($W$6:$W187)-10,)-OFFSET($B$5,SUM($W$6:$W187)-11,))</f>
        <v>#VALUE!</v>
      </c>
      <c r="AC187" s="439" t="e">
        <f ca="1">(OFFSET($B$5,SUM($W$6:$W187),)-OFFSET($B$5,SUM($W$6:$W187)-1,))+(OFFSET($B$5,SUM($W$6:$W187)-2,)-OFFSET($B$5,SUM($W$6:$W187)-3,))+(OFFSET($B$5,SUM($W$6:$W187)-4,)-OFFSET($B$5,SUM($W$6:$W187)-5,))+(OFFSET($B$5,SUM($W$6:$W187)-6,)-OFFSET($B$5,SUM($W$6:$W187)-7,))+(OFFSET($B$5,SUM($W$6:$W187)-8,)-OFFSET($B$5,SUM($W$6:$W187)-9,))</f>
        <v>#VALUE!</v>
      </c>
      <c r="AD187" s="439" t="e">
        <f ca="1">(OFFSET($B$5,SUM($W$6:$W187),)-OFFSET($B$5,SUM($W$6:$W187)-1,))+(OFFSET($B$5,SUM($W$6:$W187)-2,)-OFFSET($B$5,SUM($W$6:$W187)-3,))+(OFFSET($B$5,SUM($W$6:$W187)-4,)-OFFSET($B$5,SUM($W$6:$W187)-5,))+(OFFSET($B$5,SUM($W$6:$W187)-6,)-OFFSET($B$5,SUM($W$6:$W187)-7,))</f>
        <v>#VALUE!</v>
      </c>
      <c r="AE187" s="439" t="e">
        <f ca="1">(OFFSET($B$5,SUM($W$6:$W187),)-OFFSET($B$5,SUM($W$6:$W187)-1,))+(OFFSET($B$5,SUM($W$6:$W187)-2,)-OFFSET($B$5,SUM($W$6:$W187)-3,))+(OFFSET($B$5,SUM($W$6:$W187)-4,)-OFFSET($B$5,SUM($W$6:$W187)-5,))</f>
        <v>#VALUE!</v>
      </c>
      <c r="AF187" s="439" t="e">
        <f ca="1">(OFFSET($B$5,SUM($W$6:$W187),)-OFFSET($B$5,SUM($W$6:$W187)-1,))+(OFFSET($B$5,SUM($W$6:$W187)-2,)-OFFSET($B$5,SUM($W$6:$W187)-3,))</f>
        <v>#VALUE!</v>
      </c>
      <c r="AG187" s="439" t="e">
        <f ca="1">(OFFSET($B$5,SUM($W$6:$W187),)-OFFSET($B$5,SUM($W$6:$W187)-1,))</f>
        <v>#VALUE!</v>
      </c>
      <c r="AH187" s="439" t="e">
        <f ca="1">(OFFSET($B$5,SUM($W$6:$W187)-1,)-OFFSET($B$5,SUM($W$6:$W187)-2,))+(OFFSET($B$5,SUM($W$6:$W187)-3,)-OFFSET($B$5,SUM($W$6:$W187)-4,))+(OFFSET($B$5,SUM($W$6:$W187)-5,)-OFFSET($B$5,SUM($W$6:$W187)-6,))+(OFFSET($B$5,SUM($W$6:$W187)-7,)-OFFSET($B$5,SUM($W$6:$W187)-8,))+(OFFSET($B$5,SUM($W$6:$W187)-9,)-OFFSET($B$5,SUM($W$6:$W187)-10,))</f>
        <v>#REF!</v>
      </c>
      <c r="AI187" s="439" t="e">
        <f ca="1">(OFFSET($B$5,SUM($W$6:$W187)-1,)-OFFSET($B$5,SUM($W$6:$W187)-2,))+(OFFSET($B$5,SUM($W$6:$W187)-3,)-OFFSET($B$5,SUM($W$6:$W187)-4,))+(OFFSET($B$5,SUM($W$6:$W187)-5,)-OFFSET($B$5,SUM($W$6:$W187)-6,))+(OFFSET($B$5,SUM($W$6:$W187)-7,)-OFFSET($B$5,SUM($W$6:$W187)-8,))</f>
        <v>#REF!</v>
      </c>
      <c r="AJ187" s="439" t="e">
        <f ca="1">(OFFSET($B$5,SUM($W$6:$W187)-1,)-OFFSET($B$5,SUM($W$6:$W187)-2,))+(OFFSET($B$5,SUM($W$6:$W187)-3,)-OFFSET($B$5,SUM($W$6:$W187)-4,))+(OFFSET($B$5,SUM($W$6:$W187)-5,)-OFFSET($B$5,SUM($W$6:$W187)-6,))</f>
        <v>#REF!</v>
      </c>
      <c r="AK187" s="439">
        <f ca="1">(OFFSET($B$5,SUM($W$6:$W187)-1,)-OFFSET($B$5,SUM($W$6:$W187)-2,))+(OFFSET($B$5,SUM($W$6:$W187)-3,)-OFFSET($B$5,SUM($W$6:$W187)-4,))</f>
        <v>0</v>
      </c>
      <c r="AL187" s="439">
        <f ca="1">(OFFSET($B$5,SUM($W$6:$W187)-1,)-OFFSET($B$5,SUM($W$6:$W187)-2,))</f>
        <v>0</v>
      </c>
      <c r="AM187" s="433">
        <v>7.5416666666666696</v>
      </c>
    </row>
    <row r="188" spans="6:39" x14ac:dyDescent="0.25">
      <c r="F188" s="378">
        <v>44559</v>
      </c>
      <c r="G188" s="370">
        <f t="shared" si="112"/>
        <v>44559</v>
      </c>
      <c r="H188" s="388">
        <f t="shared" si="126"/>
        <v>0</v>
      </c>
      <c r="I188" s="388">
        <f t="shared" ca="1" si="127"/>
        <v>-0.33333333333333331</v>
      </c>
      <c r="J188" s="386">
        <f ca="1">I188+J187</f>
        <v>-7.3333333333333304</v>
      </c>
      <c r="K188" s="164"/>
      <c r="L188" s="60"/>
      <c r="T188" s="438">
        <f t="shared" si="115"/>
        <v>0</v>
      </c>
      <c r="U188" s="439" t="b">
        <f t="shared" si="116"/>
        <v>0</v>
      </c>
      <c r="V188" s="440" t="b">
        <f t="shared" si="117"/>
        <v>0</v>
      </c>
      <c r="W188" s="437">
        <f t="shared" si="118"/>
        <v>0</v>
      </c>
      <c r="X188" s="439">
        <f t="shared" si="93"/>
        <v>0</v>
      </c>
      <c r="Y188" s="439">
        <f t="shared" si="94"/>
        <v>0</v>
      </c>
      <c r="Z188" s="439">
        <f t="shared" si="111"/>
        <v>0</v>
      </c>
      <c r="AA188" s="439" t="e">
        <f ca="1">(OFFSET($B$5,SUM($W$6:$W188),)-OFFSET($B$5,(SUM($W$6:$W188)-SUM($W188:$W188)+1),))</f>
        <v>#VALUE!</v>
      </c>
      <c r="AB188" s="439" t="e">
        <f ca="1">(OFFSET($B$5,SUM($W$6:$W188),)-OFFSET($B$5,SUM($W$6:$W188)-1,))+(OFFSET($B$5,SUM($W$6:$W188)-2,)-OFFSET($B$5,SUM($W$6:$W188)-3,))+(OFFSET($B$5,SUM($W$6:$W188)-4,)-OFFSET($B$5,SUM($W$6:$W188)-5,))+(OFFSET($B$5,SUM($W$6:$W188)-6,)-OFFSET($B$5,SUM($W$6:$W188)-7,))+(OFFSET($B$5,SUM($W$6:$W188)-8,)-OFFSET($B$5,SUM($W$6:$W188)-9,))+(OFFSET($B$5,SUM($W$6:$W188)-10,)-OFFSET($B$5,SUM($W$6:$W188)-11,))</f>
        <v>#VALUE!</v>
      </c>
      <c r="AC188" s="439" t="e">
        <f ca="1">(OFFSET($B$5,SUM($W$6:$W188),)-OFFSET($B$5,SUM($W$6:$W188)-1,))+(OFFSET($B$5,SUM($W$6:$W188)-2,)-OFFSET($B$5,SUM($W$6:$W188)-3,))+(OFFSET($B$5,SUM($W$6:$W188)-4,)-OFFSET($B$5,SUM($W$6:$W188)-5,))+(OFFSET($B$5,SUM($W$6:$W188)-6,)-OFFSET($B$5,SUM($W$6:$W188)-7,))+(OFFSET($B$5,SUM($W$6:$W188)-8,)-OFFSET($B$5,SUM($W$6:$W188)-9,))</f>
        <v>#VALUE!</v>
      </c>
      <c r="AD188" s="439" t="e">
        <f ca="1">(OFFSET($B$5,SUM($W$6:$W188),)-OFFSET($B$5,SUM($W$6:$W188)-1,))+(OFFSET($B$5,SUM($W$6:$W188)-2,)-OFFSET($B$5,SUM($W$6:$W188)-3,))+(OFFSET($B$5,SUM($W$6:$W188)-4,)-OFFSET($B$5,SUM($W$6:$W188)-5,))+(OFFSET($B$5,SUM($W$6:$W188)-6,)-OFFSET($B$5,SUM($W$6:$W188)-7,))</f>
        <v>#VALUE!</v>
      </c>
      <c r="AE188" s="439" t="e">
        <f ca="1">(OFFSET($B$5,SUM($W$6:$W188),)-OFFSET($B$5,SUM($W$6:$W188)-1,))+(OFFSET($B$5,SUM($W$6:$W188)-2,)-OFFSET($B$5,SUM($W$6:$W188)-3,))+(OFFSET($B$5,SUM($W$6:$W188)-4,)-OFFSET($B$5,SUM($W$6:$W188)-5,))</f>
        <v>#VALUE!</v>
      </c>
      <c r="AF188" s="439" t="e">
        <f ca="1">(OFFSET($B$5,SUM($W$6:$W188),)-OFFSET($B$5,SUM($W$6:$W188)-1,))+(OFFSET($B$5,SUM($W$6:$W188)-2,)-OFFSET($B$5,SUM($W$6:$W188)-3,))</f>
        <v>#VALUE!</v>
      </c>
      <c r="AG188" s="439" t="e">
        <f ca="1">(OFFSET($B$5,SUM($W$6:$W188),)-OFFSET($B$5,SUM($W$6:$W188)-1,))</f>
        <v>#VALUE!</v>
      </c>
      <c r="AH188" s="439" t="e">
        <f ca="1">(OFFSET($B$5,SUM($W$6:$W188)-1,)-OFFSET($B$5,SUM($W$6:$W188)-2,))+(OFFSET($B$5,SUM($W$6:$W188)-3,)-OFFSET($B$5,SUM($W$6:$W188)-4,))+(OFFSET($B$5,SUM($W$6:$W188)-5,)-OFFSET($B$5,SUM($W$6:$W188)-6,))+(OFFSET($B$5,SUM($W$6:$W188)-7,)-OFFSET($B$5,SUM($W$6:$W188)-8,))+(OFFSET($B$5,SUM($W$6:$W188)-9,)-OFFSET($B$5,SUM($W$6:$W188)-10,))</f>
        <v>#REF!</v>
      </c>
      <c r="AI188" s="439" t="e">
        <f ca="1">(OFFSET($B$5,SUM($W$6:$W188)-1,)-OFFSET($B$5,SUM($W$6:$W188)-2,))+(OFFSET($B$5,SUM($W$6:$W188)-3,)-OFFSET($B$5,SUM($W$6:$W188)-4,))+(OFFSET($B$5,SUM($W$6:$W188)-5,)-OFFSET($B$5,SUM($W$6:$W188)-6,))+(OFFSET($B$5,SUM($W$6:$W188)-7,)-OFFSET($B$5,SUM($W$6:$W188)-8,))</f>
        <v>#REF!</v>
      </c>
      <c r="AJ188" s="439" t="e">
        <f ca="1">(OFFSET($B$5,SUM($W$6:$W188)-1,)-OFFSET($B$5,SUM($W$6:$W188)-2,))+(OFFSET($B$5,SUM($W$6:$W188)-3,)-OFFSET($B$5,SUM($W$6:$W188)-4,))+(OFFSET($B$5,SUM($W$6:$W188)-5,)-OFFSET($B$5,SUM($W$6:$W188)-6,))</f>
        <v>#REF!</v>
      </c>
      <c r="AK188" s="439">
        <f ca="1">(OFFSET($B$5,SUM($W$6:$W188)-1,)-OFFSET($B$5,SUM($W$6:$W188)-2,))+(OFFSET($B$5,SUM($W$6:$W188)-3,)-OFFSET($B$5,SUM($W$6:$W188)-4,))</f>
        <v>0</v>
      </c>
      <c r="AL188" s="439">
        <f ca="1">(OFFSET($B$5,SUM($W$6:$W188)-1,)-OFFSET($B$5,SUM($W$6:$W188)-2,))</f>
        <v>0</v>
      </c>
      <c r="AM188" s="433">
        <v>7.5833333333333304</v>
      </c>
    </row>
    <row r="189" spans="6:39" x14ac:dyDescent="0.25">
      <c r="F189" s="378">
        <v>44560</v>
      </c>
      <c r="G189" s="404">
        <f t="shared" si="112"/>
        <v>44560</v>
      </c>
      <c r="H189" s="389"/>
      <c r="I189" s="389"/>
      <c r="J189" s="389"/>
      <c r="K189" s="164"/>
      <c r="L189" s="60"/>
      <c r="T189" s="438">
        <f t="shared" si="115"/>
        <v>0</v>
      </c>
      <c r="U189" s="439" t="b">
        <f t="shared" si="116"/>
        <v>0</v>
      </c>
      <c r="V189" s="440" t="b">
        <f t="shared" si="117"/>
        <v>0</v>
      </c>
      <c r="W189" s="437">
        <f t="shared" si="118"/>
        <v>0</v>
      </c>
      <c r="X189" s="439">
        <f t="shared" si="93"/>
        <v>0</v>
      </c>
      <c r="Y189" s="439">
        <f t="shared" si="94"/>
        <v>0</v>
      </c>
      <c r="Z189" s="439">
        <f t="shared" si="111"/>
        <v>0</v>
      </c>
      <c r="AA189" s="439" t="e">
        <f ca="1">(OFFSET($B$5,SUM($W$6:$W189),)-OFFSET($B$5,(SUM($W$6:$W189)-SUM($W189:$W189)+1),))</f>
        <v>#VALUE!</v>
      </c>
      <c r="AB189" s="439" t="e">
        <f ca="1">(OFFSET($B$5,SUM($W$6:$W189),)-OFFSET($B$5,SUM($W$6:$W189)-1,))+(OFFSET($B$5,SUM($W$6:$W189)-2,)-OFFSET($B$5,SUM($W$6:$W189)-3,))+(OFFSET($B$5,SUM($W$6:$W189)-4,)-OFFSET($B$5,SUM($W$6:$W189)-5,))+(OFFSET($B$5,SUM($W$6:$W189)-6,)-OFFSET($B$5,SUM($W$6:$W189)-7,))+(OFFSET($B$5,SUM($W$6:$W189)-8,)-OFFSET($B$5,SUM($W$6:$W189)-9,))+(OFFSET($B$5,SUM($W$6:$W189)-10,)-OFFSET($B$5,SUM($W$6:$W189)-11,))</f>
        <v>#VALUE!</v>
      </c>
      <c r="AC189" s="439" t="e">
        <f ca="1">(OFFSET($B$5,SUM($W$6:$W189),)-OFFSET($B$5,SUM($W$6:$W189)-1,))+(OFFSET($B$5,SUM($W$6:$W189)-2,)-OFFSET($B$5,SUM($W$6:$W189)-3,))+(OFFSET($B$5,SUM($W$6:$W189)-4,)-OFFSET($B$5,SUM($W$6:$W189)-5,))+(OFFSET($B$5,SUM($W$6:$W189)-6,)-OFFSET($B$5,SUM($W$6:$W189)-7,))+(OFFSET($B$5,SUM($W$6:$W189)-8,)-OFFSET($B$5,SUM($W$6:$W189)-9,))</f>
        <v>#VALUE!</v>
      </c>
      <c r="AD189" s="439" t="e">
        <f ca="1">(OFFSET($B$5,SUM($W$6:$W189),)-OFFSET($B$5,SUM($W$6:$W189)-1,))+(OFFSET($B$5,SUM($W$6:$W189)-2,)-OFFSET($B$5,SUM($W$6:$W189)-3,))+(OFFSET($B$5,SUM($W$6:$W189)-4,)-OFFSET($B$5,SUM($W$6:$W189)-5,))+(OFFSET($B$5,SUM($W$6:$W189)-6,)-OFFSET($B$5,SUM($W$6:$W189)-7,))</f>
        <v>#VALUE!</v>
      </c>
      <c r="AE189" s="439" t="e">
        <f ca="1">(OFFSET($B$5,SUM($W$6:$W189),)-OFFSET($B$5,SUM($W$6:$W189)-1,))+(OFFSET($B$5,SUM($W$6:$W189)-2,)-OFFSET($B$5,SUM($W$6:$W189)-3,))+(OFFSET($B$5,SUM($W$6:$W189)-4,)-OFFSET($B$5,SUM($W$6:$W189)-5,))</f>
        <v>#VALUE!</v>
      </c>
      <c r="AF189" s="439" t="e">
        <f ca="1">(OFFSET($B$5,SUM($W$6:$W189),)-OFFSET($B$5,SUM($W$6:$W189)-1,))+(OFFSET($B$5,SUM($W$6:$W189)-2,)-OFFSET($B$5,SUM($W$6:$W189)-3,))</f>
        <v>#VALUE!</v>
      </c>
      <c r="AG189" s="439" t="e">
        <f ca="1">(OFFSET($B$5,SUM($W$6:$W189),)-OFFSET($B$5,SUM($W$6:$W189)-1,))</f>
        <v>#VALUE!</v>
      </c>
      <c r="AH189" s="439" t="e">
        <f ca="1">(OFFSET($B$5,SUM($W$6:$W189)-1,)-OFFSET($B$5,SUM($W$6:$W189)-2,))+(OFFSET($B$5,SUM($W$6:$W189)-3,)-OFFSET($B$5,SUM($W$6:$W189)-4,))+(OFFSET($B$5,SUM($W$6:$W189)-5,)-OFFSET($B$5,SUM($W$6:$W189)-6,))+(OFFSET($B$5,SUM($W$6:$W189)-7,)-OFFSET($B$5,SUM($W$6:$W189)-8,))+(OFFSET($B$5,SUM($W$6:$W189)-9,)-OFFSET($B$5,SUM($W$6:$W189)-10,))</f>
        <v>#REF!</v>
      </c>
      <c r="AI189" s="439" t="e">
        <f ca="1">(OFFSET($B$5,SUM($W$6:$W189)-1,)-OFFSET($B$5,SUM($W$6:$W189)-2,))+(OFFSET($B$5,SUM($W$6:$W189)-3,)-OFFSET($B$5,SUM($W$6:$W189)-4,))+(OFFSET($B$5,SUM($W$6:$W189)-5,)-OFFSET($B$5,SUM($W$6:$W189)-6,))+(OFFSET($B$5,SUM($W$6:$W189)-7,)-OFFSET($B$5,SUM($W$6:$W189)-8,))</f>
        <v>#REF!</v>
      </c>
      <c r="AJ189" s="439" t="e">
        <f ca="1">(OFFSET($B$5,SUM($W$6:$W189)-1,)-OFFSET($B$5,SUM($W$6:$W189)-2,))+(OFFSET($B$5,SUM($W$6:$W189)-3,)-OFFSET($B$5,SUM($W$6:$W189)-4,))+(OFFSET($B$5,SUM($W$6:$W189)-5,)-OFFSET($B$5,SUM($W$6:$W189)-6,))</f>
        <v>#REF!</v>
      </c>
      <c r="AK189" s="439">
        <f ca="1">(OFFSET($B$5,SUM($W$6:$W189)-1,)-OFFSET($B$5,SUM($W$6:$W189)-2,))+(OFFSET($B$5,SUM($W$6:$W189)-3,)-OFFSET($B$5,SUM($W$6:$W189)-4,))</f>
        <v>0</v>
      </c>
      <c r="AL189" s="439">
        <f ca="1">(OFFSET($B$5,SUM($W$6:$W189)-1,)-OFFSET($B$5,SUM($W$6:$W189)-2,))</f>
        <v>0</v>
      </c>
      <c r="AM189" s="433">
        <v>7.625</v>
      </c>
    </row>
    <row r="190" spans="6:39" ht="15.75" thickBot="1" x14ac:dyDescent="0.3">
      <c r="F190" s="379">
        <v>44561</v>
      </c>
      <c r="G190" s="404">
        <f t="shared" si="112"/>
        <v>44561</v>
      </c>
      <c r="H190" s="389"/>
      <c r="I190" s="389"/>
      <c r="J190" s="389"/>
      <c r="K190" s="165"/>
      <c r="L190" s="62"/>
      <c r="T190" s="438">
        <f t="shared" si="115"/>
        <v>0</v>
      </c>
      <c r="U190" s="439" t="b">
        <f t="shared" si="116"/>
        <v>0</v>
      </c>
      <c r="V190" s="440" t="b">
        <f t="shared" si="117"/>
        <v>0</v>
      </c>
      <c r="W190" s="437">
        <f t="shared" si="118"/>
        <v>0</v>
      </c>
      <c r="X190" s="439">
        <f t="shared" si="93"/>
        <v>0</v>
      </c>
      <c r="Y190" s="439">
        <f t="shared" si="94"/>
        <v>0</v>
      </c>
      <c r="Z190" s="439">
        <f t="shared" si="111"/>
        <v>0</v>
      </c>
      <c r="AA190" s="439" t="e">
        <f ca="1">(OFFSET($B$5,SUM($W$6:$W190),)-OFFSET($B$5,(SUM($W$6:$W190)-SUM($W190:$W190)+1),))</f>
        <v>#VALUE!</v>
      </c>
      <c r="AB190" s="439" t="e">
        <f ca="1">(OFFSET($B$5,SUM($W$6:$W190),)-OFFSET($B$5,SUM($W$6:$W190)-1,))+(OFFSET($B$5,SUM($W$6:$W190)-2,)-OFFSET($B$5,SUM($W$6:$W190)-3,))+(OFFSET($B$5,SUM($W$6:$W190)-4,)-OFFSET($B$5,SUM($W$6:$W190)-5,))+(OFFSET($B$5,SUM($W$6:$W190)-6,)-OFFSET($B$5,SUM($W$6:$W190)-7,))+(OFFSET($B$5,SUM($W$6:$W190)-8,)-OFFSET($B$5,SUM($W$6:$W190)-9,))+(OFFSET($B$5,SUM($W$6:$W190)-10,)-OFFSET($B$5,SUM($W$6:$W190)-11,))</f>
        <v>#VALUE!</v>
      </c>
      <c r="AC190" s="439" t="e">
        <f ca="1">(OFFSET($B$5,SUM($W$6:$W190),)-OFFSET($B$5,SUM($W$6:$W190)-1,))+(OFFSET($B$5,SUM($W$6:$W190)-2,)-OFFSET($B$5,SUM($W$6:$W190)-3,))+(OFFSET($B$5,SUM($W$6:$W190)-4,)-OFFSET($B$5,SUM($W$6:$W190)-5,))+(OFFSET($B$5,SUM($W$6:$W190)-6,)-OFFSET($B$5,SUM($W$6:$W190)-7,))+(OFFSET($B$5,SUM($W$6:$W190)-8,)-OFFSET($B$5,SUM($W$6:$W190)-9,))</f>
        <v>#VALUE!</v>
      </c>
      <c r="AD190" s="439" t="e">
        <f ca="1">(OFFSET($B$5,SUM($W$6:$W190),)-OFFSET($B$5,SUM($W$6:$W190)-1,))+(OFFSET($B$5,SUM($W$6:$W190)-2,)-OFFSET($B$5,SUM($W$6:$W190)-3,))+(OFFSET($B$5,SUM($W$6:$W190)-4,)-OFFSET($B$5,SUM($W$6:$W190)-5,))+(OFFSET($B$5,SUM($W$6:$W190)-6,)-OFFSET($B$5,SUM($W$6:$W190)-7,))</f>
        <v>#VALUE!</v>
      </c>
      <c r="AE190" s="439" t="e">
        <f ca="1">(OFFSET($B$5,SUM($W$6:$W190),)-OFFSET($B$5,SUM($W$6:$W190)-1,))+(OFFSET($B$5,SUM($W$6:$W190)-2,)-OFFSET($B$5,SUM($W$6:$W190)-3,))+(OFFSET($B$5,SUM($W$6:$W190)-4,)-OFFSET($B$5,SUM($W$6:$W190)-5,))</f>
        <v>#VALUE!</v>
      </c>
      <c r="AF190" s="439" t="e">
        <f ca="1">(OFFSET($B$5,SUM($W$6:$W190),)-OFFSET($B$5,SUM($W$6:$W190)-1,))+(OFFSET($B$5,SUM($W$6:$W190)-2,)-OFFSET($B$5,SUM($W$6:$W190)-3,))</f>
        <v>#VALUE!</v>
      </c>
      <c r="AG190" s="439" t="e">
        <f ca="1">(OFFSET($B$5,SUM($W$6:$W190),)-OFFSET($B$5,SUM($W$6:$W190)-1,))</f>
        <v>#VALUE!</v>
      </c>
      <c r="AH190" s="439" t="e">
        <f ca="1">(OFFSET($B$5,SUM($W$6:$W190)-1,)-OFFSET($B$5,SUM($W$6:$W190)-2,))+(OFFSET($B$5,SUM($W$6:$W190)-3,)-OFFSET($B$5,SUM($W$6:$W190)-4,))+(OFFSET($B$5,SUM($W$6:$W190)-5,)-OFFSET($B$5,SUM($W$6:$W190)-6,))+(OFFSET($B$5,SUM($W$6:$W190)-7,)-OFFSET($B$5,SUM($W$6:$W190)-8,))+(OFFSET($B$5,SUM($W$6:$W190)-9,)-OFFSET($B$5,SUM($W$6:$W190)-10,))</f>
        <v>#REF!</v>
      </c>
      <c r="AI190" s="439" t="e">
        <f ca="1">(OFFSET($B$5,SUM($W$6:$W190)-1,)-OFFSET($B$5,SUM($W$6:$W190)-2,))+(OFFSET($B$5,SUM($W$6:$W190)-3,)-OFFSET($B$5,SUM($W$6:$W190)-4,))+(OFFSET($B$5,SUM($W$6:$W190)-5,)-OFFSET($B$5,SUM($W$6:$W190)-6,))+(OFFSET($B$5,SUM($W$6:$W190)-7,)-OFFSET($B$5,SUM($W$6:$W190)-8,))</f>
        <v>#REF!</v>
      </c>
      <c r="AJ190" s="439" t="e">
        <f ca="1">(OFFSET($B$5,SUM($W$6:$W190)-1,)-OFFSET($B$5,SUM($W$6:$W190)-2,))+(OFFSET($B$5,SUM($W$6:$W190)-3,)-OFFSET($B$5,SUM($W$6:$W190)-4,))+(OFFSET($B$5,SUM($W$6:$W190)-5,)-OFFSET($B$5,SUM($W$6:$W190)-6,))</f>
        <v>#REF!</v>
      </c>
      <c r="AK190" s="439">
        <f ca="1">(OFFSET($B$5,SUM($W$6:$W190)-1,)-OFFSET($B$5,SUM($W$6:$W190)-2,))+(OFFSET($B$5,SUM($W$6:$W190)-3,)-OFFSET($B$5,SUM($W$6:$W190)-4,))</f>
        <v>0</v>
      </c>
      <c r="AL190" s="439">
        <f ca="1">(OFFSET($B$5,SUM($W$6:$W190)-1,)-OFFSET($B$5,SUM($W$6:$W190)-2,))</f>
        <v>0</v>
      </c>
      <c r="AM190" s="433">
        <v>7.6666666666666696</v>
      </c>
    </row>
  </sheetData>
  <mergeCells count="8">
    <mergeCell ref="K98:L98"/>
    <mergeCell ref="K129:L129"/>
    <mergeCell ref="K159:L159"/>
    <mergeCell ref="Z5:AA5"/>
    <mergeCell ref="L1:Q1"/>
    <mergeCell ref="K6:L6"/>
    <mergeCell ref="K37:L37"/>
    <mergeCell ref="K68:L68"/>
  </mergeCells>
  <conditionalFormatting sqref="B2:C3">
    <cfRule type="expression" dxfId="0" priority="2">
      <formula>WEEKDAY(B2,11)&gt;5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taif_hb@su.uacrussia.local</dc:creator>
  <cp:lastModifiedBy>taif_hb@su.uacrussia.local</cp:lastModifiedBy>
  <cp:lastPrinted>2025-07-11T13:58:26Z</cp:lastPrinted>
  <dcterms:created xsi:type="dcterms:W3CDTF">2023-10-18T13:26:39Z</dcterms:created>
  <dcterms:modified xsi:type="dcterms:W3CDTF">2025-07-28T12:05:03Z</dcterms:modified>
</cp:coreProperties>
</file>